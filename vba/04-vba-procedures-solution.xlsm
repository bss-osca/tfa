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FB5DB88-22C3-2248-8B6E-7D3318C025F3}" xr6:coauthVersionLast="47" xr6:coauthVersionMax="47" xr10:uidLastSave="{00000000-0000-0000-0000-000000000000}"/>
  <bookViews>
    <workbookView xWindow="0" yWindow="500" windowWidth="25600" windowHeight="28300" activeTab="1" xr2:uid="{00000000-000D-0000-FFFF-FFFF00000000}"/>
  </bookViews>
  <sheets>
    <sheet name="TM4" sheetId="1" r:id="rId1"/>
    <sheet name="TM4_Virus" sheetId="10" r:id="rId2"/>
    <sheet name="TM3" sheetId="2" r:id="rId3"/>
    <sheet name="TM3_Separate1" sheetId="3" r:id="rId4"/>
    <sheet name="TM3_Separate2" sheetId="4" r:id="rId5"/>
    <sheet name="TM3_Separate3" sheetId="5" r:id="rId6"/>
    <sheet name="TM3_DistanceMatrix" sheetId="6" r:id="rId7"/>
    <sheet name="TM3_Numbers" sheetId="7" r:id="rId8"/>
    <sheet name="TM2" sheetId="8" r:id="rId9"/>
    <sheet name="TM2_Numbers" sheetId="9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0" l="1"/>
  <c r="D5" i="8"/>
  <c r="B12" i="1"/>
  <c r="B10" i="1"/>
  <c r="C9" i="1"/>
  <c r="B8" i="1"/>
  <c r="C11" i="1"/>
  <c r="C13" i="1"/>
  <c r="B9" i="1"/>
  <c r="B13" i="1"/>
  <c r="C12" i="1"/>
  <c r="C8" i="1"/>
  <c r="B11" i="1"/>
  <c r="E4" i="1"/>
  <c r="C10" i="1"/>
</calcChain>
</file>

<file path=xl/sharedStrings.xml><?xml version="1.0" encoding="utf-8"?>
<sst xmlns="http://schemas.openxmlformats.org/spreadsheetml/2006/main" count="141" uniqueCount="75">
  <si>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</si>
  <si>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</si>
  <si>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</si>
  <si>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</si>
  <si>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</si>
  <si>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</si>
  <si>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</si>
  <si>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</si>
  <si>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</si>
  <si>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</si>
  <si>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</si>
  <si>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</si>
  <si>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</si>
  <si>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</si>
  <si>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</si>
  <si>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</si>
  <si>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</si>
  <si>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</si>
  <si>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</si>
  <si>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</si>
  <si>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</si>
  <si>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</si>
  <si>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</si>
  <si>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</si>
  <si>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</si>
  <si>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</si>
  <si>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</si>
  <si>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</si>
  <si>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</si>
  <si>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</si>
  <si>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</si>
  <si>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</si>
  <si>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</si>
  <si>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</si>
  <si>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</si>
  <si>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</si>
  <si>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</si>
  <si>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</si>
  <si>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</si>
  <si>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</si>
  <si>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</si>
  <si>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</si>
  <si>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</si>
  <si>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</si>
  <si>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</si>
  <si>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</si>
  <si>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</si>
  <si>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</si>
  <si>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</si>
  <si>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</si>
  <si>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</si>
  <si>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</si>
  <si>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</si>
  <si>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</si>
  <si>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</si>
  <si>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</si>
  <si>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</si>
  <si>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</si>
  <si>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</si>
  <si>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</si>
  <si>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</si>
  <si>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[-798,962]</t>
  </si>
  <si>
    <t>Positives:</t>
  </si>
  <si>
    <t>Max row:</t>
  </si>
  <si>
    <t>Min row:</t>
  </si>
  <si>
    <t>  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</si>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</sst>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3" fillId="2" borderId="1" applyNumberFormat="0" applyAlignment="0" applyProtection="0"/>
    <xf numFmtId="0" fontId="7" fillId="4" borderId="0" applyNumberFormat="0" applyBorder="0" applyAlignment="0" applyProtection="0"/>
    <xf numFmtId="0" fontId="8" fillId="3" borderId="0" applyNumberFormat="0" applyBorder="0" applyAlignment="0" applyProtection="0"/>
    <xf numFmtId="0" fontId="9" fillId="2" borderId="1" applyNumberFormat="0" applyAlignment="0" applyProtection="0"/>
    <xf numFmtId="0" fontId="3" fillId="2" borderId="1" applyNumberFormat="0" applyAlignment="0" applyProtection="0"/>
    <xf numFmtId="0" fontId="1" fillId="0" borderId="0"/>
  </cellStyleXfs>
  <cellXfs count="21">
    <xf numFmtId="0" fontId="0" fillId="0" borderId="0" xfId="0"/>
    <xf numFmtId="0" fontId="2" fillId="0" borderId="0" xfId="0" applyFont="1"/>
    <xf numFmtId="0" fontId="3" fillId="2" borderId="1" xfId="1"/>
    <xf numFmtId="0" fontId="4" fillId="2" borderId="1" xfId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7" fillId="4" borderId="1" xfId="2" applyBorder="1"/>
    <xf numFmtId="0" fontId="8" fillId="3" borderId="1" xfId="3" applyBorder="1"/>
    <xf numFmtId="0" fontId="8" fillId="3" borderId="1" xfId="3" applyBorder="1" applyAlignment="1">
      <alignment horizontal="center"/>
    </xf>
    <xf numFmtId="1" fontId="7" fillId="4" borderId="1" xfId="2" applyNumberFormat="1" applyBorder="1"/>
    <xf numFmtId="0" fontId="9" fillId="2" borderId="1" xfId="4"/>
    <xf numFmtId="2" fontId="9" fillId="2" borderId="1" xfId="4" applyNumberFormat="1"/>
    <xf numFmtId="0" fontId="9" fillId="0" borderId="0" xfId="4" applyFill="1" applyBorder="1"/>
    <xf numFmtId="0" fontId="3" fillId="2" borderId="1" xfId="5" applyAlignment="1">
      <alignment horizontal="left"/>
    </xf>
    <xf numFmtId="0" fontId="3" fillId="2" borderId="1" xfId="5" applyAlignment="1">
      <alignment horizontal="center"/>
    </xf>
    <xf numFmtId="0" fontId="1" fillId="0" borderId="0" xfId="6"/>
    <xf numFmtId="0" fontId="1" fillId="0" borderId="0" xfId="6" applyAlignment="1">
      <alignment horizontal="right"/>
    </xf>
    <xf numFmtId="0" fontId="3" fillId="2" borderId="1" xfId="1" applyAlignment="1">
      <alignment horizontal="center"/>
    </xf>
    <xf numFmtId="0" fontId="3" fillId="2" borderId="2" xfId="5" applyBorder="1" applyAlignment="1">
      <alignment horizontal="center"/>
    </xf>
    <xf numFmtId="0" fontId="3" fillId="2" borderId="3" xfId="5" applyBorder="1" applyAlignment="1">
      <alignment horizontal="center"/>
    </xf>
  </cellXfs>
  <cellStyles count="7">
    <cellStyle name="Good 2" xfId="3" xr:uid="{34987494-681B-DD45-AAF0-918869FB8C1B}"/>
    <cellStyle name="Input" xfId="1" builtinId="20"/>
    <cellStyle name="Input 2" xfId="4" xr:uid="{A7E64558-9705-2C4A-82CC-714EA77AA77C}"/>
    <cellStyle name="Input 2 2" xfId="5" xr:uid="{4470863C-309A-5E4F-95E7-E52FEFA554AD}"/>
    <cellStyle name="Neutral 2" xfId="2" xr:uid="{F718A13D-E749-2C4E-A383-6707F2C360AF}"/>
    <cellStyle name="Normal" xfId="0" builtinId="0"/>
    <cellStyle name="Normal 2" xfId="6" xr:uid="{38E401C1-115C-9D4F-8C3D-48A45BA51562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953294CC-C267-8445-2C1D-8101383E8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9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9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0"/>
  <sheetViews>
    <sheetView zoomScale="140" zoomScaleNormal="140" workbookViewId="0">
      <selection activeCell="A16" sqref="A16"/>
    </sheetView>
  </sheetViews>
  <sheetFormatPr baseColWidth="10" defaultColWidth="8.83203125" defaultRowHeight="15" x14ac:dyDescent="0.2"/>
  <cols>
    <col min="1" max="1" width="17.83203125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 t="shared" ref="C8:C13" si="0">TM4_ConvertKg(A8,FALSE)</f>
        <v>2.2046199999999998</v>
      </c>
    </row>
    <row r="9" spans="1:5" ht="16" x14ac:dyDescent="0.2">
      <c r="A9" s="2">
        <v>2</v>
      </c>
      <c r="B9" s="2">
        <f t="shared" ref="B9:B13" si="1">TM4_ConvertKg(A9)</f>
        <v>2000</v>
      </c>
      <c r="C9" s="2">
        <f t="shared" si="0"/>
        <v>4.4092399999999996</v>
      </c>
    </row>
    <row r="10" spans="1:5" ht="16" x14ac:dyDescent="0.2">
      <c r="A10" s="2">
        <v>4.5</v>
      </c>
      <c r="B10" s="2">
        <f t="shared" si="1"/>
        <v>4500</v>
      </c>
      <c r="C10" s="2">
        <f t="shared" si="0"/>
        <v>9.9207899999999984</v>
      </c>
    </row>
    <row r="11" spans="1:5" ht="16" x14ac:dyDescent="0.2">
      <c r="A11" s="2">
        <v>3.2</v>
      </c>
      <c r="B11" s="2">
        <f t="shared" si="1"/>
        <v>3200</v>
      </c>
      <c r="C11" s="2">
        <f t="shared" si="0"/>
        <v>7.0547839999999997</v>
      </c>
    </row>
    <row r="12" spans="1:5" ht="16" x14ac:dyDescent="0.2">
      <c r="A12" s="2">
        <v>20.6</v>
      </c>
      <c r="B12" s="2">
        <f t="shared" si="1"/>
        <v>20600</v>
      </c>
      <c r="C12" s="2">
        <f t="shared" si="0"/>
        <v>45.415171999999998</v>
      </c>
    </row>
    <row r="13" spans="1:5" ht="16" x14ac:dyDescent="0.2">
      <c r="A13" s="2">
        <v>0</v>
      </c>
      <c r="B13" s="2">
        <f t="shared" si="1"/>
        <v>0</v>
      </c>
      <c r="C13" s="2">
        <f t="shared" si="0"/>
        <v>0</v>
      </c>
    </row>
    <row r="15" spans="1:5" x14ac:dyDescent="0.2">
      <c r="A15" t="s">
        <v>11</v>
      </c>
    </row>
    <row r="16" spans="1:5" x14ac:dyDescent="0.2">
      <c r="A16" t="s">
        <v>9</v>
      </c>
      <c r="B16" t="s">
        <v>10</v>
      </c>
      <c r="C16" t="s">
        <v>8</v>
      </c>
      <c r="D16" t="s">
        <v>13</v>
      </c>
    </row>
    <row r="18" spans="1:1" x14ac:dyDescent="0.2">
      <c r="A18" t="s">
        <v>12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3F848-FE0A-BC4E-B262-E56EEDC56479}">
  <sheetPr codeName="Sheet10"/>
  <dimension ref="A1:H37"/>
  <sheetViews>
    <sheetView showGridLines="0" tabSelected="1" zoomScale="120" zoomScaleNormal="120" workbookViewId="0">
      <selection activeCell="N21" sqref="N21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2" t="s">
        <v>66</v>
      </c>
      <c r="B1" s="2"/>
      <c r="C1" s="2"/>
      <c r="D1" s="2">
        <v>30</v>
      </c>
    </row>
    <row r="2" spans="1:8" ht="16" x14ac:dyDescent="0.2">
      <c r="A2" s="2" t="s">
        <v>67</v>
      </c>
      <c r="B2" s="2"/>
      <c r="C2" s="2"/>
      <c r="D2" s="2">
        <v>10</v>
      </c>
    </row>
    <row r="3" spans="1:8" ht="16" x14ac:dyDescent="0.2">
      <c r="A3" s="2" t="s">
        <v>68</v>
      </c>
      <c r="B3" s="2"/>
      <c r="C3" s="2"/>
      <c r="D3" s="2">
        <v>3</v>
      </c>
    </row>
    <row r="5" spans="1:8" x14ac:dyDescent="0.2">
      <c r="A5" t="s">
        <v>69</v>
      </c>
      <c r="F5" t="s">
        <v>70</v>
      </c>
    </row>
    <row r="6" spans="1:8" ht="16" x14ac:dyDescent="0.2">
      <c r="A6" s="18" t="s">
        <v>71</v>
      </c>
      <c r="B6" s="18" t="s">
        <v>72</v>
      </c>
      <c r="C6" s="9" t="s">
        <v>73</v>
      </c>
      <c r="F6" s="2" t="s">
        <v>71</v>
      </c>
      <c r="G6" s="2" t="s">
        <v>72</v>
      </c>
      <c r="H6" s="9" t="s">
        <v>74</v>
      </c>
    </row>
    <row r="7" spans="1:8" ht="16" x14ac:dyDescent="0.2">
      <c r="A7" s="18">
        <v>1</v>
      </c>
      <c r="B7" s="18">
        <v>200.87</v>
      </c>
      <c r="C7" s="9"/>
      <c r="F7" s="18">
        <v>1</v>
      </c>
      <c r="G7" s="18">
        <v>159.13999999999999</v>
      </c>
      <c r="H7" s="9">
        <v>1</v>
      </c>
    </row>
    <row r="8" spans="1:8" ht="16" x14ac:dyDescent="0.2">
      <c r="A8" s="18">
        <v>2</v>
      </c>
      <c r="B8" s="18">
        <v>196.43</v>
      </c>
      <c r="C8" s="9">
        <v>1</v>
      </c>
      <c r="F8" s="18">
        <v>2</v>
      </c>
      <c r="G8" s="18">
        <v>197.21</v>
      </c>
      <c r="H8" s="9">
        <v>1</v>
      </c>
    </row>
    <row r="9" spans="1:8" ht="16" x14ac:dyDescent="0.2">
      <c r="A9" s="18">
        <v>3</v>
      </c>
      <c r="B9" s="18">
        <v>159.31</v>
      </c>
      <c r="C9" s="9">
        <v>1</v>
      </c>
      <c r="F9" s="18">
        <v>3</v>
      </c>
      <c r="G9" s="18">
        <v>201.17</v>
      </c>
      <c r="H9" s="9"/>
    </row>
    <row r="10" spans="1:8" ht="16" x14ac:dyDescent="0.2">
      <c r="A10" s="18">
        <v>4</v>
      </c>
      <c r="B10" s="18">
        <v>204.5</v>
      </c>
      <c r="C10" s="9">
        <v>1</v>
      </c>
      <c r="F10" s="18">
        <v>4</v>
      </c>
      <c r="G10" s="18">
        <v>202.96</v>
      </c>
      <c r="H10" s="9">
        <v>1</v>
      </c>
    </row>
    <row r="11" spans="1:8" ht="16" x14ac:dyDescent="0.2">
      <c r="A11" s="18">
        <v>5</v>
      </c>
      <c r="B11" s="18">
        <v>160.25</v>
      </c>
      <c r="C11" s="9">
        <v>1</v>
      </c>
      <c r="F11" s="18">
        <v>5</v>
      </c>
      <c r="G11" s="18">
        <v>158.66</v>
      </c>
      <c r="H11" s="9"/>
    </row>
    <row r="12" spans="1:8" ht="16" x14ac:dyDescent="0.2">
      <c r="A12" s="18">
        <v>6</v>
      </c>
      <c r="B12" s="18">
        <v>189.58</v>
      </c>
      <c r="C12" s="9"/>
      <c r="F12" s="18">
        <v>6</v>
      </c>
      <c r="G12" s="18">
        <v>190.96</v>
      </c>
      <c r="H12" s="9"/>
    </row>
    <row r="13" spans="1:8" ht="16" x14ac:dyDescent="0.2">
      <c r="A13" s="18">
        <v>7</v>
      </c>
      <c r="B13" s="18">
        <v>193.77</v>
      </c>
      <c r="C13" s="9"/>
      <c r="F13" s="18">
        <v>7</v>
      </c>
      <c r="G13" s="18">
        <v>205.62</v>
      </c>
      <c r="H13" s="9"/>
    </row>
    <row r="14" spans="1:8" ht="16" x14ac:dyDescent="0.2">
      <c r="A14" s="18">
        <v>8</v>
      </c>
      <c r="B14" s="18">
        <v>147.71</v>
      </c>
      <c r="C14" s="9"/>
      <c r="F14" s="18">
        <v>8</v>
      </c>
      <c r="G14" s="18">
        <v>197.73</v>
      </c>
      <c r="H14" s="9"/>
    </row>
    <row r="15" spans="1:8" ht="16" x14ac:dyDescent="0.2">
      <c r="A15" s="18">
        <v>9</v>
      </c>
      <c r="B15" s="18">
        <v>155.58000000000001</v>
      </c>
      <c r="C15" s="9"/>
      <c r="F15" s="18">
        <v>9</v>
      </c>
      <c r="G15" s="18">
        <v>207.68</v>
      </c>
      <c r="H15" s="9"/>
    </row>
    <row r="16" spans="1:8" ht="16" x14ac:dyDescent="0.2">
      <c r="A16" s="18">
        <v>10</v>
      </c>
      <c r="B16" s="18">
        <v>152.09</v>
      </c>
      <c r="C16" s="9"/>
      <c r="F16" s="18">
        <v>10</v>
      </c>
      <c r="G16" s="18">
        <v>204.61</v>
      </c>
      <c r="H16" s="9"/>
    </row>
    <row r="17" spans="1:3" ht="16" x14ac:dyDescent="0.2">
      <c r="A17" s="18">
        <v>11</v>
      </c>
      <c r="B17" s="18">
        <v>186.4</v>
      </c>
      <c r="C17" s="9"/>
    </row>
    <row r="18" spans="1:3" ht="16" x14ac:dyDescent="0.2">
      <c r="A18" s="18">
        <v>12</v>
      </c>
      <c r="B18" s="18">
        <v>160.58000000000001</v>
      </c>
      <c r="C18" s="9">
        <v>1</v>
      </c>
    </row>
    <row r="19" spans="1:3" ht="16" x14ac:dyDescent="0.2">
      <c r="A19" s="18">
        <v>13</v>
      </c>
      <c r="B19" s="18">
        <v>209.88</v>
      </c>
      <c r="C19" s="9"/>
    </row>
    <row r="20" spans="1:3" ht="16" x14ac:dyDescent="0.2">
      <c r="A20" s="18">
        <v>14</v>
      </c>
      <c r="B20" s="18">
        <v>196.8</v>
      </c>
      <c r="C20" s="9">
        <v>1</v>
      </c>
    </row>
    <row r="21" spans="1:3" ht="16" x14ac:dyDescent="0.2">
      <c r="A21" s="18">
        <v>15</v>
      </c>
      <c r="B21" s="18">
        <v>209.46</v>
      </c>
      <c r="C21" s="9"/>
    </row>
    <row r="22" spans="1:3" ht="16" x14ac:dyDescent="0.2">
      <c r="A22" s="18">
        <v>16</v>
      </c>
      <c r="B22" s="18">
        <v>163.94</v>
      </c>
      <c r="C22" s="9"/>
    </row>
    <row r="23" spans="1:3" ht="16" x14ac:dyDescent="0.2">
      <c r="A23" s="18">
        <v>17</v>
      </c>
      <c r="B23" s="18">
        <v>174.67</v>
      </c>
      <c r="C23" s="9"/>
    </row>
    <row r="24" spans="1:3" ht="16" x14ac:dyDescent="0.2">
      <c r="A24" s="18">
        <v>18</v>
      </c>
      <c r="B24" s="18">
        <v>172.66</v>
      </c>
      <c r="C24" s="9"/>
    </row>
    <row r="25" spans="1:3" ht="16" x14ac:dyDescent="0.2">
      <c r="A25" s="18">
        <v>19</v>
      </c>
      <c r="B25" s="18">
        <v>204.8</v>
      </c>
      <c r="C25" s="9">
        <v>1</v>
      </c>
    </row>
    <row r="26" spans="1:3" ht="16" x14ac:dyDescent="0.2">
      <c r="A26" s="18">
        <v>20</v>
      </c>
      <c r="B26" s="18">
        <v>160.86000000000001</v>
      </c>
      <c r="C26" s="9">
        <v>1</v>
      </c>
    </row>
    <row r="27" spans="1:3" ht="16" x14ac:dyDescent="0.2">
      <c r="A27" s="18">
        <v>21</v>
      </c>
      <c r="B27" s="18">
        <v>200.09</v>
      </c>
      <c r="C27" s="9"/>
    </row>
    <row r="28" spans="1:3" ht="16" x14ac:dyDescent="0.2">
      <c r="A28" s="18">
        <v>22</v>
      </c>
      <c r="B28" s="18">
        <v>168.7</v>
      </c>
      <c r="C28" s="9"/>
    </row>
    <row r="29" spans="1:3" ht="16" x14ac:dyDescent="0.2">
      <c r="A29" s="18">
        <v>23</v>
      </c>
      <c r="B29" s="18">
        <v>202.71</v>
      </c>
      <c r="C29" s="9">
        <v>1</v>
      </c>
    </row>
    <row r="30" spans="1:3" ht="16" x14ac:dyDescent="0.2">
      <c r="A30" s="18">
        <v>24</v>
      </c>
      <c r="B30" s="18">
        <v>207.18</v>
      </c>
      <c r="C30" s="9"/>
    </row>
    <row r="31" spans="1:3" ht="16" x14ac:dyDescent="0.2">
      <c r="A31" s="18">
        <v>25</v>
      </c>
      <c r="B31" s="18">
        <v>189.6</v>
      </c>
      <c r="C31" s="9"/>
    </row>
    <row r="32" spans="1:3" ht="16" x14ac:dyDescent="0.2">
      <c r="A32" s="18">
        <v>26</v>
      </c>
      <c r="B32" s="18">
        <v>201.94</v>
      </c>
      <c r="C32" s="9">
        <v>1</v>
      </c>
    </row>
    <row r="33" spans="1:3" ht="16" x14ac:dyDescent="0.2">
      <c r="A33" s="18">
        <v>27</v>
      </c>
      <c r="B33" s="18">
        <v>203.55</v>
      </c>
      <c r="C33" s="9">
        <v>1</v>
      </c>
    </row>
    <row r="34" spans="1:3" ht="16" x14ac:dyDescent="0.2">
      <c r="A34" s="18">
        <v>28</v>
      </c>
      <c r="B34" s="18">
        <v>194.47</v>
      </c>
      <c r="C34" s="9"/>
    </row>
    <row r="35" spans="1:3" ht="16" x14ac:dyDescent="0.2">
      <c r="A35" s="18">
        <v>29</v>
      </c>
      <c r="B35" s="18">
        <v>159.05000000000001</v>
      </c>
      <c r="C35" s="9">
        <v>1</v>
      </c>
    </row>
    <row r="36" spans="1:3" ht="16" x14ac:dyDescent="0.2">
      <c r="A36" s="18">
        <v>30</v>
      </c>
      <c r="B36" s="18">
        <v>159.63999999999999</v>
      </c>
      <c r="C36" s="9">
        <v>1</v>
      </c>
    </row>
    <row r="37" spans="1:3" x14ac:dyDescent="0.2">
      <c r="C37" s="5">
        <f>SUM(C7:C36)</f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9114-65BC-C547-93C9-9706D90DE581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5" customWidth="1"/>
    <col min="2" max="2" width="13" style="5" customWidth="1"/>
    <col min="3" max="3" width="13.6640625" style="5" customWidth="1"/>
    <col min="4" max="4" width="14.5" style="5" customWidth="1"/>
    <col min="5" max="5" width="10.83203125" style="5"/>
  </cols>
  <sheetData>
    <row r="1" spans="1:5" x14ac:dyDescent="0.2">
      <c r="A1" s="4" t="s">
        <v>16</v>
      </c>
    </row>
    <row r="3" spans="1:5" x14ac:dyDescent="0.2">
      <c r="A3" s="6" t="s">
        <v>17</v>
      </c>
    </row>
    <row r="5" spans="1:5" x14ac:dyDescent="0.2">
      <c r="A5" s="5" t="s">
        <v>18</v>
      </c>
      <c r="B5" s="5" t="s">
        <v>19</v>
      </c>
      <c r="C5" s="5" t="s">
        <v>19</v>
      </c>
      <c r="D5" s="5" t="s">
        <v>20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C7C0-799E-4B44-991D-8D7D90333FFC}">
  <sheetPr codeName="Sheet2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21</v>
      </c>
      <c r="B1" s="1" t="s">
        <v>22</v>
      </c>
      <c r="C1" s="1" t="s">
        <v>23</v>
      </c>
      <c r="D1" s="1" t="s">
        <v>24</v>
      </c>
    </row>
    <row r="2" spans="1:4" x14ac:dyDescent="0.2">
      <c r="A2" t="s">
        <v>25</v>
      </c>
      <c r="B2" t="s">
        <v>23</v>
      </c>
    </row>
    <row r="3" spans="1:4" x14ac:dyDescent="0.2">
      <c r="A3" t="s">
        <v>26</v>
      </c>
      <c r="B3" t="s">
        <v>27</v>
      </c>
    </row>
    <row r="4" spans="1:4" x14ac:dyDescent="0.2">
      <c r="A4" t="s">
        <v>28</v>
      </c>
      <c r="B4" t="s">
        <v>29</v>
      </c>
    </row>
    <row r="5" spans="1:4" x14ac:dyDescent="0.2">
      <c r="A5" t="s">
        <v>30</v>
      </c>
      <c r="B5" t="s">
        <v>23</v>
      </c>
    </row>
    <row r="6" spans="1:4" x14ac:dyDescent="0.2">
      <c r="A6" t="s">
        <v>31</v>
      </c>
      <c r="B6" t="s">
        <v>23</v>
      </c>
    </row>
    <row r="7" spans="1:4" x14ac:dyDescent="0.2">
      <c r="A7" t="s">
        <v>32</v>
      </c>
      <c r="B7" t="s">
        <v>27</v>
      </c>
    </row>
    <row r="8" spans="1:4" x14ac:dyDescent="0.2">
      <c r="A8" t="s">
        <v>33</v>
      </c>
      <c r="B8" t="s">
        <v>29</v>
      </c>
    </row>
    <row r="9" spans="1:4" x14ac:dyDescent="0.2">
      <c r="A9" t="s">
        <v>34</v>
      </c>
      <c r="B9" t="s">
        <v>27</v>
      </c>
    </row>
    <row r="10" spans="1:4" x14ac:dyDescent="0.2">
      <c r="A10" t="s">
        <v>35</v>
      </c>
      <c r="B10" t="s">
        <v>36</v>
      </c>
    </row>
    <row r="11" spans="1:4" x14ac:dyDescent="0.2">
      <c r="A11" t="s">
        <v>37</v>
      </c>
      <c r="B11" t="s">
        <v>23</v>
      </c>
    </row>
    <row r="12" spans="1:4" x14ac:dyDescent="0.2">
      <c r="A12" t="s">
        <v>38</v>
      </c>
      <c r="B12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5E54-E5C0-784F-8B91-218BA2E5A89B}">
  <sheetPr codeName="Sheet3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24</v>
      </c>
      <c r="F1" s="1"/>
      <c r="G1" s="1"/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BC59-4A01-8D45-922F-535C491299FD}">
  <sheetPr codeName="Sheet4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29</v>
      </c>
      <c r="F1" s="1" t="s">
        <v>36</v>
      </c>
      <c r="G1" s="1" t="s">
        <v>24</v>
      </c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9521-084E-B94A-97BB-EC7F51639BD2}">
  <sheetPr codeName="Sheet6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7" t="s">
        <v>40</v>
      </c>
      <c r="B1" s="7" t="s">
        <v>41</v>
      </c>
      <c r="C1" s="7" t="s">
        <v>42</v>
      </c>
      <c r="D1" s="8" t="s">
        <v>43</v>
      </c>
      <c r="E1" s="9">
        <v>10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x14ac:dyDescent="0.2">
      <c r="A2" s="11">
        <v>1</v>
      </c>
      <c r="B2" s="11">
        <v>6</v>
      </c>
      <c r="C2" s="11">
        <v>1</v>
      </c>
      <c r="E2" s="5"/>
      <c r="F2" s="10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1">
        <v>2</v>
      </c>
      <c r="B3" s="11">
        <v>1</v>
      </c>
      <c r="C3" s="11">
        <v>5</v>
      </c>
      <c r="E3" s="5"/>
      <c r="F3" s="10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2">
      <c r="A4" s="11">
        <v>3</v>
      </c>
      <c r="B4" s="11">
        <v>6</v>
      </c>
      <c r="C4" s="11">
        <v>3</v>
      </c>
      <c r="E4" s="5"/>
      <c r="F4" s="10"/>
      <c r="G4" s="12"/>
      <c r="H4" s="12"/>
      <c r="I4" s="12"/>
      <c r="J4" s="12"/>
      <c r="K4" s="12"/>
      <c r="L4" s="12"/>
      <c r="M4" s="12"/>
      <c r="N4" s="12"/>
      <c r="O4" s="12"/>
      <c r="P4" s="12"/>
    </row>
    <row r="5" spans="1:16" x14ac:dyDescent="0.2">
      <c r="A5" s="11">
        <v>4</v>
      </c>
      <c r="B5" s="11">
        <v>7</v>
      </c>
      <c r="C5" s="11">
        <v>4</v>
      </c>
      <c r="E5" s="5"/>
      <c r="F5" s="10"/>
      <c r="G5" s="12"/>
      <c r="H5" s="12"/>
      <c r="I5" s="12"/>
      <c r="J5" s="12"/>
      <c r="K5" s="12"/>
      <c r="L5" s="12"/>
      <c r="M5" s="12"/>
      <c r="N5" s="12"/>
      <c r="O5" s="12"/>
      <c r="P5" s="12"/>
    </row>
    <row r="6" spans="1:16" x14ac:dyDescent="0.2">
      <c r="A6" s="11">
        <v>5</v>
      </c>
      <c r="B6" s="11">
        <v>4</v>
      </c>
      <c r="C6" s="11">
        <v>6</v>
      </c>
      <c r="E6" s="5"/>
      <c r="F6" s="10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1:16" x14ac:dyDescent="0.2">
      <c r="A7" s="11">
        <v>6</v>
      </c>
      <c r="B7" s="11">
        <v>4</v>
      </c>
      <c r="C7" s="11">
        <v>7</v>
      </c>
      <c r="E7" s="5"/>
      <c r="F7" s="10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1:16" x14ac:dyDescent="0.2">
      <c r="A8" s="11">
        <v>7</v>
      </c>
      <c r="B8" s="11">
        <v>5</v>
      </c>
      <c r="C8" s="11">
        <v>2</v>
      </c>
      <c r="E8" s="5"/>
      <c r="F8" s="10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">
      <c r="A9" s="11">
        <v>8</v>
      </c>
      <c r="B9" s="11">
        <v>1</v>
      </c>
      <c r="C9" s="11">
        <v>4</v>
      </c>
      <c r="E9" s="5"/>
      <c r="F9" s="10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">
      <c r="A10" s="11">
        <v>9</v>
      </c>
      <c r="B10" s="11">
        <v>4</v>
      </c>
      <c r="C10" s="11">
        <v>2</v>
      </c>
      <c r="E10" s="5"/>
      <c r="F10" s="10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">
      <c r="A11" s="11">
        <v>10</v>
      </c>
      <c r="B11" s="11">
        <v>6</v>
      </c>
      <c r="C11" s="11">
        <v>5</v>
      </c>
      <c r="E11" s="5"/>
      <c r="F11" s="10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5" spans="1:16" x14ac:dyDescent="0.2">
      <c r="G1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859F-E4EB-2549-BCE1-2AF636EB7714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7257-547F-DC41-9FD1-3B3986FCD0B5}">
  <sheetPr codeName="Sheet7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44</v>
      </c>
    </row>
    <row r="3" spans="1:5" ht="16" x14ac:dyDescent="0.2">
      <c r="A3" t="s">
        <v>45</v>
      </c>
      <c r="D3" s="14" t="s">
        <v>46</v>
      </c>
      <c r="E3" s="15"/>
    </row>
    <row r="4" spans="1:5" ht="16" x14ac:dyDescent="0.2">
      <c r="D4" s="15" t="s">
        <v>47</v>
      </c>
      <c r="E4" s="15" t="s">
        <v>48</v>
      </c>
    </row>
    <row r="5" spans="1:5" ht="16" x14ac:dyDescent="0.2">
      <c r="A5" t="s">
        <v>49</v>
      </c>
      <c r="D5" s="19" t="str">
        <f>TM2_StringJoin(D4,E4)</f>
        <v>Lars  Relund</v>
      </c>
      <c r="E5" s="20"/>
    </row>
    <row r="8" spans="1:5" ht="16" x14ac:dyDescent="0.2">
      <c r="D8" s="15" t="s">
        <v>50</v>
      </c>
      <c r="E8" s="15" t="s">
        <v>51</v>
      </c>
    </row>
    <row r="9" spans="1:5" ht="16" x14ac:dyDescent="0.2">
      <c r="D9" s="15">
        <v>0</v>
      </c>
      <c r="E9" s="15">
        <v>4</v>
      </c>
    </row>
    <row r="10" spans="1:5" ht="16" x14ac:dyDescent="0.2">
      <c r="D10" s="15">
        <v>2</v>
      </c>
      <c r="E10" s="15">
        <v>6</v>
      </c>
    </row>
    <row r="11" spans="1:5" ht="16" x14ac:dyDescent="0.2">
      <c r="D11" s="15">
        <v>3</v>
      </c>
      <c r="E11" s="15">
        <v>7</v>
      </c>
    </row>
    <row r="12" spans="1:5" ht="16" x14ac:dyDescent="0.2">
      <c r="D12" s="15">
        <v>5</v>
      </c>
      <c r="E12" s="15">
        <v>9</v>
      </c>
    </row>
    <row r="15" spans="1:5" x14ac:dyDescent="0.2">
      <c r="D15" t="s">
        <v>52</v>
      </c>
      <c r="E15" t="s">
        <v>53</v>
      </c>
    </row>
    <row r="16" spans="1:5" x14ac:dyDescent="0.2">
      <c r="D16" t="s">
        <v>54</v>
      </c>
      <c r="E16" t="s">
        <v>55</v>
      </c>
    </row>
    <row r="17" spans="4:5" x14ac:dyDescent="0.2">
      <c r="D17" t="s">
        <v>56</v>
      </c>
      <c r="E17" t="s">
        <v>57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F767-07AB-6248-95EF-50A4E57461AD}">
  <sheetPr codeName="Sheet9"/>
  <dimension ref="A1:D41"/>
  <sheetViews>
    <sheetView workbookViewId="0">
      <selection activeCell="M21" sqref="M21"/>
    </sheetView>
  </sheetViews>
  <sheetFormatPr baseColWidth="10" defaultRowHeight="16" x14ac:dyDescent="0.2"/>
  <cols>
    <col min="1" max="1" width="7.1640625" style="16" customWidth="1"/>
    <col min="2" max="2" width="3.83203125" style="16" customWidth="1"/>
    <col min="3" max="3" width="9.5" style="16" customWidth="1"/>
    <col min="4" max="4" width="11.5" style="16" customWidth="1"/>
    <col min="5" max="16384" width="10.83203125" style="16"/>
  </cols>
  <sheetData>
    <row r="1" spans="1:4" x14ac:dyDescent="0.2">
      <c r="A1" s="16">
        <v>823</v>
      </c>
      <c r="C1" s="16" t="s">
        <v>58</v>
      </c>
      <c r="D1" s="16">
        <v>962</v>
      </c>
    </row>
    <row r="2" spans="1:4" x14ac:dyDescent="0.2">
      <c r="A2" s="16">
        <v>-426</v>
      </c>
      <c r="C2" s="16" t="s">
        <v>59</v>
      </c>
      <c r="D2" s="16">
        <v>-798</v>
      </c>
    </row>
    <row r="3" spans="1:4" x14ac:dyDescent="0.2">
      <c r="A3" s="16">
        <v>-906</v>
      </c>
      <c r="C3" s="16" t="s">
        <v>60</v>
      </c>
      <c r="D3" s="17" t="s">
        <v>61</v>
      </c>
    </row>
    <row r="4" spans="1:4" x14ac:dyDescent="0.2">
      <c r="A4" s="16">
        <v>309</v>
      </c>
      <c r="C4" s="16" t="s">
        <v>62</v>
      </c>
      <c r="D4" s="16">
        <v>17</v>
      </c>
    </row>
    <row r="5" spans="1:4" x14ac:dyDescent="0.2">
      <c r="A5" s="16">
        <v>-290</v>
      </c>
      <c r="C5" s="16" t="s">
        <v>63</v>
      </c>
      <c r="D5" s="16">
        <v>12</v>
      </c>
    </row>
    <row r="6" spans="1:4" x14ac:dyDescent="0.2">
      <c r="A6" s="16">
        <v>925</v>
      </c>
      <c r="C6" s="16" t="s">
        <v>64</v>
      </c>
      <c r="D6" s="16">
        <v>27</v>
      </c>
    </row>
    <row r="7" spans="1:4" x14ac:dyDescent="0.2">
      <c r="A7" s="16">
        <v>859</v>
      </c>
    </row>
    <row r="8" spans="1:4" x14ac:dyDescent="0.2">
      <c r="A8" s="16">
        <v>386</v>
      </c>
    </row>
    <row r="9" spans="1:4" x14ac:dyDescent="0.2">
      <c r="A9" s="16">
        <v>-272</v>
      </c>
    </row>
    <row r="10" spans="1:4" x14ac:dyDescent="0.2">
      <c r="A10" s="16">
        <v>-156</v>
      </c>
    </row>
    <row r="11" spans="1:4" x14ac:dyDescent="0.2">
      <c r="A11" s="16">
        <v>-623</v>
      </c>
    </row>
    <row r="12" spans="1:4" x14ac:dyDescent="0.2">
      <c r="A12" s="16">
        <v>-181</v>
      </c>
    </row>
    <row r="13" spans="1:4" x14ac:dyDescent="0.2">
      <c r="A13" s="16">
        <v>159</v>
      </c>
    </row>
    <row r="14" spans="1:4" x14ac:dyDescent="0.2">
      <c r="A14" s="16">
        <v>-259</v>
      </c>
    </row>
    <row r="15" spans="1:4" x14ac:dyDescent="0.2">
      <c r="A15" s="16">
        <v>-919</v>
      </c>
    </row>
    <row r="16" spans="1:4" x14ac:dyDescent="0.2">
      <c r="A16" s="16">
        <v>935</v>
      </c>
    </row>
    <row r="17" spans="1:1" x14ac:dyDescent="0.2">
      <c r="A17" s="16">
        <v>704</v>
      </c>
    </row>
    <row r="18" spans="1:1" x14ac:dyDescent="0.2">
      <c r="A18" s="16">
        <v>274</v>
      </c>
    </row>
    <row r="19" spans="1:1" x14ac:dyDescent="0.2">
      <c r="A19" s="16">
        <v>-197</v>
      </c>
    </row>
    <row r="20" spans="1:1" x14ac:dyDescent="0.2">
      <c r="A20" s="16">
        <v>-708</v>
      </c>
    </row>
    <row r="21" spans="1:1" x14ac:dyDescent="0.2">
      <c r="A21" s="16">
        <v>431</v>
      </c>
    </row>
    <row r="22" spans="1:1" x14ac:dyDescent="0.2">
      <c r="A22" s="16">
        <v>136</v>
      </c>
    </row>
    <row r="23" spans="1:1" x14ac:dyDescent="0.2">
      <c r="A23" s="16">
        <v>-515</v>
      </c>
    </row>
    <row r="24" spans="1:1" x14ac:dyDescent="0.2">
      <c r="A24" s="16">
        <v>-306</v>
      </c>
    </row>
    <row r="25" spans="1:1" x14ac:dyDescent="0.2">
      <c r="A25" s="16">
        <v>-156</v>
      </c>
    </row>
    <row r="26" spans="1:1" x14ac:dyDescent="0.2">
      <c r="A26" s="16">
        <v>579</v>
      </c>
    </row>
    <row r="27" spans="1:1" x14ac:dyDescent="0.2">
      <c r="A27" s="16">
        <v>471</v>
      </c>
    </row>
    <row r="28" spans="1:1" x14ac:dyDescent="0.2">
      <c r="A28" s="16">
        <v>3</v>
      </c>
    </row>
    <row r="29" spans="1:1" x14ac:dyDescent="0.2">
      <c r="A29" s="16">
        <v>721</v>
      </c>
    </row>
    <row r="30" spans="1:1" x14ac:dyDescent="0.2">
      <c r="A30" s="16">
        <v>405</v>
      </c>
    </row>
    <row r="31" spans="1:1" x14ac:dyDescent="0.2">
      <c r="A31" s="16">
        <v>-676</v>
      </c>
    </row>
    <row r="32" spans="1:1" x14ac:dyDescent="0.2">
      <c r="A32" s="16">
        <v>558</v>
      </c>
    </row>
    <row r="33" spans="1:4" x14ac:dyDescent="0.2">
      <c r="A33" s="16">
        <v>-938</v>
      </c>
    </row>
    <row r="34" spans="1:4" x14ac:dyDescent="0.2">
      <c r="A34" s="16">
        <v>83</v>
      </c>
    </row>
    <row r="35" spans="1:4" x14ac:dyDescent="0.2">
      <c r="A35" s="16">
        <v>771</v>
      </c>
    </row>
    <row r="36" spans="1:4" x14ac:dyDescent="0.2">
      <c r="A36" s="16">
        <v>246</v>
      </c>
    </row>
    <row r="37" spans="1:4" x14ac:dyDescent="0.2">
      <c r="A37" s="16">
        <v>88</v>
      </c>
    </row>
    <row r="38" spans="1:4" x14ac:dyDescent="0.2">
      <c r="A38" s="16">
        <v>239</v>
      </c>
    </row>
    <row r="39" spans="1:4" x14ac:dyDescent="0.2">
      <c r="A39" s="16">
        <v>-188</v>
      </c>
    </row>
    <row r="40" spans="1:4" x14ac:dyDescent="0.2">
      <c r="A40" s="16">
        <v>545</v>
      </c>
    </row>
    <row r="41" spans="1:4" x14ac:dyDescent="0.2">
      <c r="D41" s="1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TM4</vt:lpstr>
      <vt:lpstr>TM4_Virus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2022-07-22T14:41:50Z</dcterms:modified>
</cp:coreProperties>
</file>