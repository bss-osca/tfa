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1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37235075-F625-0F44-845B-A2DE4E9EA03F}" xr6:coauthVersionLast="47" xr6:coauthVersionMax="47" xr10:uidLastSave="{00000000-0000-0000-0000-000000000000}"/>
  <bookViews>
    <workbookView xWindow="0" yWindow="500" windowWidth="25600" windowHeight="28300" xr2:uid="{00000000-000D-0000-FFFF-FFFF00000000}"/>
  </bookViews>
  <sheets>
    <sheet name="Overview" sheetId="11" r:id="rId1"/>
    <sheet name="TM4" sheetId="1" r:id="rId2"/>
    <sheet name="TM4_Virus" sheetId="10" r:id="rId3"/>
    <sheet name="TM4_Numbers" sheetId="13" r:id="rId4"/>
    <sheet name="TM3" sheetId="2" r:id="rId5"/>
    <sheet name="TM3_Separate1" sheetId="3" r:id="rId6"/>
    <sheet name="TM3_Separate2" sheetId="4" r:id="rId7"/>
    <sheet name="TM3_Separate3" sheetId="5" r:id="rId8"/>
    <sheet name="TM3_DistanceMatrix" sheetId="6" r:id="rId9"/>
    <sheet name="TM3_Numbers" sheetId="7" r:id="rId10"/>
    <sheet name="TM2" sheetId="8" r:id="rId11"/>
    <sheet name="TM2_Numbers" sheetId="9" r:id="rId12"/>
  </sheets>
  <functionGroups builtInGroupCount="19"/>
  <externalReferences>
    <externalReference r:id="rId1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7" i="10" l="1"/>
  <c r="C68" i="1"/>
  <c r="C69" i="1"/>
  <c r="C72" i="1"/>
  <c r="C73" i="1"/>
  <c r="C74" i="1"/>
  <c r="C76" i="1"/>
  <c r="C70" i="1"/>
  <c r="C75" i="1"/>
  <c r="C71" i="1"/>
  <c r="C77" i="1"/>
  <c r="B62" i="1"/>
  <c r="B63" i="1"/>
  <c r="B61" i="1"/>
  <c r="C56" i="1"/>
  <c r="C57" i="1"/>
  <c r="C55" i="1"/>
  <c r="C50" i="1"/>
  <c r="C51" i="1"/>
  <c r="C49" i="1"/>
  <c r="C8" i="1"/>
  <c r="B11" i="1"/>
  <c r="D5" i="8"/>
  <c r="B12" i="1"/>
  <c r="B10" i="1"/>
  <c r="C9" i="1"/>
  <c r="B8" i="1"/>
  <c r="C11" i="1"/>
  <c r="E4" i="1"/>
  <c r="C10" i="1"/>
  <c r="C13" i="1"/>
  <c r="B9" i="1"/>
  <c r="B13" i="1"/>
  <c r="C12" i="1"/>
</calcChain>
</file>

<file path=xl/sharedStrings.xml><?xml version="1.0" encoding="utf-8"?>
<sst xmlns="http://schemas.openxmlformats.org/spreadsheetml/2006/main" count="254" uniqueCount="171">
  <si>
    <t>Product =</t>
  </si>
  <si>
    <t>Main worksheet for Teaching Module 4</t>
  </si>
  <si>
    <t>Testing ProductFunc:</t>
  </si>
  <si>
    <t>Tests</t>
  </si>
  <si>
    <t>Kg</t>
  </si>
  <si>
    <t>Grams</t>
  </si>
  <si>
    <t>Pounds</t>
  </si>
  <si>
    <t>Testing ConvertKg</t>
  </si>
  <si>
    <t>VBA</t>
  </si>
  <si>
    <t>Programming</t>
  </si>
  <si>
    <t xml:space="preserve">in </t>
  </si>
  <si>
    <t>Testing FormatCells</t>
  </si>
  <si>
    <t>ColorIndex values</t>
  </si>
  <si>
    <t>is cool</t>
  </si>
  <si>
    <t>Some numbers</t>
  </si>
  <si>
    <t>Some randomnumbers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</si>
  <si>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</si>
  <si>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</si>
  <si>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</si>
  <si>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</si>
  <si>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</si>
  <si>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</si>
  <si>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</si>
  <si>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</si>
  <si>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</si>
  <si>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</si>
  <si>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</si>
  <si>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</si>
  <si>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</si>
  <si>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</si>
  <si>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</si>
  <si>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</si>
  <si>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</si>
  <si>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</si>
  <si>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</si>
  <si>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</si>
  <si>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</si>
  <si>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</si>
  <si>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</si>
  <si>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</si>
  <si>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</si>
  <si>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</si>
  <si>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</si>
  <si>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</si>
  <si>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</si>
  <si>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</si>
  <si>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</si>
  <si>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</si>
  <si>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</si>
  <si>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</si>
  <si>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</si>
  <si>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</si>
  <si>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</si>
  <si>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</si>
  <si>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</si>
  <si>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</si>
  <si>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</si>
  <si>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</si>
  <si>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Max:</t>
  </si>
  <si>
    <t>Min:</t>
  </si>
  <si>
    <t>Range:</t>
  </si>
  <si>
    <t>[-798,962]</t>
  </si>
  <si>
    <t>Positives:</t>
  </si>
  <si>
    <t>Max row:</t>
  </si>
  <si>
    <t>Min row:</t>
  </si>
  <si>
    <t>  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</si>
  <si>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</si>
  <si>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</si>
  <si>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</si>
  <si>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</si>
  <si>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</si>
  <si>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</si>
  <si>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</si>
  <si>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</si>
  <si>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</si>
  <si>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Overview over selected VBA procedures used in the course</t>
  </si>
  <si>
    <t>Topic</t>
  </si>
  <si>
    <t>Examples</t>
  </si>
  <si>
    <t>Exercises</t>
  </si>
  <si>
    <t>Variables</t>
  </si>
  <si>
    <t xml:space="preserve">   Declaring</t>
  </si>
  <si>
    <t>TM2_DeclareVariables</t>
  </si>
  <si>
    <t>TM2_FindRange</t>
  </si>
  <si>
    <t xml:space="preserve">   Strings</t>
  </si>
  <si>
    <t>TM2_StringJoin</t>
  </si>
  <si>
    <t>Builtin Procedures</t>
  </si>
  <si>
    <t xml:space="preserve">   Excel</t>
  </si>
  <si>
    <t xml:space="preserve">   VBA</t>
  </si>
  <si>
    <t>Writing data to</t>
  </si>
  <si>
    <t xml:space="preserve">   Dialogbox</t>
  </si>
  <si>
    <t>TM2_Dialog, TM2_CondStatement</t>
  </si>
  <si>
    <t xml:space="preserve">   Sheet</t>
  </si>
  <si>
    <t>TM2_ReadWriteSheet, TM2_CondStatement, TM2_Loops, TM2_FindRange, M3_SeparatePersons3</t>
  </si>
  <si>
    <t>Reading data from</t>
  </si>
  <si>
    <t>TM2_Dialog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</si>
  <si>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</si>
  <si>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</si>
  <si>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</si>
  <si>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</si>
  <si>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</si>
  <si>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</si>
  <si>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</si>
  <si>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</si>
  <si>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</si>
  <si>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</si>
  <si>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>TM3_LoopsQ5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</si>
  <si>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</si>
  <si>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</si>
  <si>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</si>
  <si>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</si>
  <si>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</si>
  <si>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</si>
  <si>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TM3_ForEach</t>
  </si>
  <si>
    <t>TM3_CondQ2</t>
  </si>
  <si>
    <t>Procedures</t>
  </si>
  <si>
    <t xml:space="preserve">   Distances</t>
  </si>
  <si>
    <t>TM3_Distance, TM3_MakeSymetricDistanceMatrix</t>
  </si>
  <si>
    <t xml:space="preserve">   Search strings</t>
  </si>
  <si>
    <t>TM3_FindJen3, TM3_SeparatePersons3</t>
  </si>
  <si>
    <t xml:space="preserve">   Plotting</t>
  </si>
  <si>
    <t>TM2_Plot</t>
  </si>
  <si>
    <t>Formatting cells</t>
  </si>
  <si>
    <t>TM2_ChangeLayout, TM3_CondQ1</t>
  </si>
  <si>
    <t>TM4_ProductFunc, TM4_ProductSub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</si>
  <si>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</si>
  <si>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</si>
  <si>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</si>
  <si>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</si>
  <si>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</si>
  <si>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</si>
  <si>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>TM2_MacroRecorder, TM4_FormatCell</t>
  </si>
  <si>
    <t>Ranges</t>
  </si>
  <si>
    <t xml:space="preserve">   Colors</t>
  </si>
  <si>
    <t>TM4_FormatCell, TM4_SeeColorIndex</t>
  </si>
  <si>
    <t xml:space="preserve">   ByVal vs ByRef</t>
  </si>
  <si>
    <t>TM4_ByRef, TM4_ByVal, TM4_TestBy</t>
  </si>
  <si>
    <t>TM2_ExcelFunction, TM4_TestWorksheetfunctions</t>
  </si>
  <si>
    <t>TM2_VBAFunction, TM4_TestVBAfunctions</t>
  </si>
  <si>
    <t>TM4_TestCover, TM4_FindTestPersons</t>
  </si>
  <si>
    <t xml:space="preserve">   Person selection (e)</t>
  </si>
  <si>
    <t>e: old exam assignment</t>
  </si>
  <si>
    <t>Procedures (by topic)</t>
  </si>
  <si>
    <t xml:space="preserve">   Clear</t>
  </si>
  <si>
    <t>TM4_ClearSheetTM4</t>
  </si>
  <si>
    <t>Testing Discount:</t>
  </si>
  <si>
    <t>Amount</t>
  </si>
  <si>
    <t>Discount</t>
  </si>
  <si>
    <t>Discounted amount</t>
  </si>
  <si>
    <t>Testing Larger:</t>
  </si>
  <si>
    <t>Arg 1</t>
  </si>
  <si>
    <t>Arg 2</t>
  </si>
  <si>
    <t>Testing NumbDays:</t>
  </si>
  <si>
    <t xml:space="preserve">Date </t>
  </si>
  <si>
    <t xml:space="preserve">Days </t>
  </si>
  <si>
    <t>A1 &gt; A2?</t>
  </si>
  <si>
    <t>Unit</t>
  </si>
  <si>
    <t>f</t>
  </si>
  <si>
    <t>c</t>
  </si>
  <si>
    <t>Testing ConvertTemp:</t>
  </si>
  <si>
    <t>Temperature</t>
  </si>
  <si>
    <t>Converted</t>
  </si>
  <si>
    <t>Correct values</t>
  </si>
  <si>
    <t>Sum:</t>
  </si>
  <si>
    <t>TM4_GetMsg, TM4_PrintNameAge</t>
  </si>
  <si>
    <t>TM4_TestPrintNameAge</t>
  </si>
  <si>
    <t>TM4_CelsiusToFahrenheit</t>
  </si>
  <si>
    <t>TM4_ConvertTemp</t>
  </si>
  <si>
    <t>TM4_NumbDays</t>
  </si>
  <si>
    <t>TM4_Summary</t>
  </si>
  <si>
    <t xml:space="preserve">   Convert numbers (e)</t>
  </si>
  <si>
    <t>TM4_CelsiusToFahrenheit, TM4_ConvertTemp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</si>
</sst>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2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4" fillId="2" borderId="1" applyNumberFormat="0" applyAlignment="0" applyProtection="0"/>
    <xf numFmtId="0" fontId="8" fillId="4" borderId="0" applyNumberFormat="0" applyBorder="0" applyAlignment="0" applyProtection="0"/>
    <xf numFmtId="0" fontId="9" fillId="3" borderId="0" applyNumberFormat="0" applyBorder="0" applyAlignment="0" applyProtection="0"/>
    <xf numFmtId="0" fontId="10" fillId="2" borderId="1" applyNumberFormat="0" applyAlignment="0" applyProtection="0"/>
    <xf numFmtId="0" fontId="4" fillId="2" borderId="1" applyNumberFormat="0" applyAlignment="0" applyProtection="0"/>
    <xf numFmtId="0" fontId="2" fillId="0" borderId="0"/>
    <xf numFmtId="0" fontId="11" fillId="3" borderId="0" applyNumberFormat="0" applyBorder="0" applyAlignment="0" applyProtection="0"/>
    <xf numFmtId="0" fontId="1" fillId="0" borderId="0"/>
  </cellStyleXfs>
  <cellXfs count="38">
    <xf numFmtId="0" fontId="0" fillId="0" borderId="0" xfId="0"/>
    <xf numFmtId="0" fontId="3" fillId="0" borderId="0" xfId="0" applyFont="1"/>
    <xf numFmtId="0" fontId="4" fillId="2" borderId="1" xfId="1"/>
    <xf numFmtId="0" fontId="5" fillId="2" borderId="1" xfId="1" applyFont="1"/>
    <xf numFmtId="0" fontId="3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8" fillId="4" borderId="1" xfId="2" applyBorder="1"/>
    <xf numFmtId="0" fontId="9" fillId="3" borderId="1" xfId="3" applyBorder="1"/>
    <xf numFmtId="0" fontId="9" fillId="3" borderId="1" xfId="3" applyBorder="1" applyAlignment="1">
      <alignment horizontal="center"/>
    </xf>
    <xf numFmtId="1" fontId="8" fillId="4" borderId="1" xfId="2" applyNumberFormat="1" applyBorder="1"/>
    <xf numFmtId="0" fontId="10" fillId="2" borderId="1" xfId="4"/>
    <xf numFmtId="2" fontId="10" fillId="2" borderId="1" xfId="4" applyNumberFormat="1"/>
    <xf numFmtId="0" fontId="10" fillId="0" borderId="0" xfId="4" applyFill="1" applyBorder="1"/>
    <xf numFmtId="0" fontId="4" fillId="2" borderId="1" xfId="5" applyAlignment="1">
      <alignment horizontal="left"/>
    </xf>
    <xf numFmtId="0" fontId="4" fillId="2" borderId="1" xfId="5" applyAlignment="1">
      <alignment horizontal="center"/>
    </xf>
    <xf numFmtId="0" fontId="2" fillId="0" borderId="0" xfId="6"/>
    <xf numFmtId="0" fontId="2" fillId="0" borderId="0" xfId="6" applyAlignment="1">
      <alignment horizontal="right"/>
    </xf>
    <xf numFmtId="0" fontId="4" fillId="2" borderId="1" xfId="1" applyAlignment="1">
      <alignment horizontal="center"/>
    </xf>
    <xf numFmtId="0" fontId="4" fillId="2" borderId="2" xfId="5" applyBorder="1" applyAlignment="1">
      <alignment horizontal="center"/>
    </xf>
    <xf numFmtId="0" fontId="4" fillId="2" borderId="3" xfId="5" applyBorder="1" applyAlignment="1">
      <alignment horizontal="center"/>
    </xf>
    <xf numFmtId="0" fontId="0" fillId="0" borderId="0" xfId="0" applyAlignment="1">
      <alignment wrapText="1"/>
    </xf>
    <xf numFmtId="0" fontId="12" fillId="3" borderId="4" xfId="3" applyFont="1" applyBorder="1" applyAlignment="1">
      <alignment vertical="center"/>
    </xf>
    <xf numFmtId="0" fontId="12" fillId="3" borderId="4" xfId="3" applyFont="1" applyBorder="1" applyAlignment="1">
      <alignment vertical="center" wrapText="1"/>
    </xf>
    <xf numFmtId="0" fontId="4" fillId="2" borderId="1" xfId="5" applyAlignment="1">
      <alignment vertical="center"/>
    </xf>
    <xf numFmtId="0" fontId="4" fillId="2" borderId="1" xfId="5" applyAlignment="1">
      <alignment vertical="center" wrapText="1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0" fillId="0" borderId="6" xfId="0" applyBorder="1" applyAlignment="1">
      <alignment vertical="center"/>
    </xf>
    <xf numFmtId="0" fontId="0" fillId="0" borderId="6" xfId="0" applyBorder="1" applyAlignment="1">
      <alignment vertical="center" wrapText="1"/>
    </xf>
    <xf numFmtId="14" fontId="4" fillId="2" borderId="1" xfId="1" applyNumberFormat="1"/>
    <xf numFmtId="0" fontId="4" fillId="2" borderId="1" xfId="1" applyAlignment="1">
      <alignment wrapText="1"/>
    </xf>
    <xf numFmtId="2" fontId="4" fillId="2" borderId="1" xfId="1" applyNumberFormat="1" applyAlignment="1">
      <alignment horizontal="center"/>
    </xf>
    <xf numFmtId="2" fontId="11" fillId="3" borderId="0" xfId="7" applyNumberFormat="1" applyAlignment="1">
      <alignment horizontal="center"/>
    </xf>
    <xf numFmtId="0" fontId="1" fillId="0" borderId="0" xfId="8"/>
    <xf numFmtId="0" fontId="1" fillId="0" borderId="0" xfId="8" applyAlignment="1">
      <alignment horizontal="right"/>
    </xf>
  </cellXfs>
  <cellStyles count="9">
    <cellStyle name="Good" xfId="7" builtinId="26"/>
    <cellStyle name="Good 2" xfId="3" xr:uid="{34987494-681B-DD45-AAF0-918869FB8C1B}"/>
    <cellStyle name="Input" xfId="1" builtinId="20"/>
    <cellStyle name="Input 2" xfId="4" xr:uid="{A7E64558-9705-2C4A-82CC-714EA77AA77C}"/>
    <cellStyle name="Input 2 2" xfId="5" xr:uid="{4470863C-309A-5E4F-95E7-E52FEFA554AD}"/>
    <cellStyle name="Neutral 2" xfId="2" xr:uid="{F718A13D-E749-2C4E-A383-6707F2C360AF}"/>
    <cellStyle name="Normal" xfId="0" builtinId="0"/>
    <cellStyle name="Normal 2" xfId="6" xr:uid="{38E401C1-115C-9D4F-8C3D-48A45BA51562}"/>
    <cellStyle name="Normal 3" xfId="8" xr:uid="{69FDD114-5677-0C46-9C3F-C8EC12C37A63}"/>
  </cellStyles>
  <dxfs count="0"/>
  <tableStyles count="0" defaultTableStyle="TableStyleMedium2" defaultPivotStyle="PivotStyleLight16"/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21D23A6-C832-1744-B8A0-69F455FD34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53456361-8576-334E-8A39-C82FB3CE78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466B5A27-28E5-EC41-AB69-5CCB0CF0B9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9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9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9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9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9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ld/vba-functions-solu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Testing"/>
    </sheetNames>
    <definedNames>
      <definedName name="GetDiscount"/>
    </defined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DA3CC-1EA1-5844-BC9A-CB114620E979}">
  <sheetPr codeName="Sheet11"/>
  <dimension ref="A1:C40"/>
  <sheetViews>
    <sheetView showGridLines="0" tabSelected="1" zoomScale="120" zoomScaleNormal="120" workbookViewId="0">
      <selection activeCell="B47" sqref="B47"/>
    </sheetView>
  </sheetViews>
  <sheetFormatPr baseColWidth="10" defaultColWidth="8.83203125" defaultRowHeight="15" x14ac:dyDescent="0.2"/>
  <cols>
    <col min="1" max="1" width="18" customWidth="1"/>
    <col min="2" max="2" width="46.83203125" style="21" customWidth="1"/>
    <col min="3" max="3" width="27.6640625" style="21" bestFit="1" customWidth="1"/>
  </cols>
  <sheetData>
    <row r="1" spans="1:3" x14ac:dyDescent="0.2">
      <c r="A1" s="1" t="s">
        <v>75</v>
      </c>
    </row>
    <row r="3" spans="1:3" ht="16" x14ac:dyDescent="0.2">
      <c r="A3" s="22" t="s">
        <v>76</v>
      </c>
      <c r="B3" s="23" t="s">
        <v>77</v>
      </c>
      <c r="C3" s="23" t="s">
        <v>78</v>
      </c>
    </row>
    <row r="4" spans="1:3" ht="16" x14ac:dyDescent="0.2">
      <c r="A4" s="24" t="s">
        <v>79</v>
      </c>
      <c r="B4" s="25"/>
      <c r="C4" s="25"/>
    </row>
    <row r="5" spans="1:3" ht="16" x14ac:dyDescent="0.2">
      <c r="A5" s="26" t="s">
        <v>80</v>
      </c>
      <c r="B5" s="27" t="s">
        <v>81</v>
      </c>
      <c r="C5" s="27" t="s">
        <v>82</v>
      </c>
    </row>
    <row r="6" spans="1:3" ht="16" x14ac:dyDescent="0.2">
      <c r="A6" s="28" t="s">
        <v>83</v>
      </c>
      <c r="B6" s="29" t="s">
        <v>84</v>
      </c>
      <c r="C6" s="29"/>
    </row>
    <row r="7" spans="1:3" ht="16" x14ac:dyDescent="0.2">
      <c r="A7" s="24" t="s">
        <v>85</v>
      </c>
      <c r="B7" s="25"/>
      <c r="C7" s="25"/>
    </row>
    <row r="8" spans="1:3" ht="16" x14ac:dyDescent="0.2">
      <c r="A8" s="26" t="s">
        <v>86</v>
      </c>
      <c r="B8" s="27" t="s">
        <v>136</v>
      </c>
      <c r="C8" s="27" t="s">
        <v>168</v>
      </c>
    </row>
    <row r="9" spans="1:3" ht="16" x14ac:dyDescent="0.2">
      <c r="A9" s="28" t="s">
        <v>87</v>
      </c>
      <c r="B9" s="29" t="s">
        <v>137</v>
      </c>
      <c r="C9" s="29" t="s">
        <v>167</v>
      </c>
    </row>
    <row r="10" spans="1:3" ht="16" x14ac:dyDescent="0.2">
      <c r="A10" s="24" t="s">
        <v>88</v>
      </c>
      <c r="B10" s="25"/>
      <c r="C10" s="25"/>
    </row>
    <row r="11" spans="1:3" ht="16" x14ac:dyDescent="0.2">
      <c r="A11" s="26" t="s">
        <v>89</v>
      </c>
      <c r="B11" s="27" t="s">
        <v>90</v>
      </c>
      <c r="C11" s="27" t="s">
        <v>163</v>
      </c>
    </row>
    <row r="12" spans="1:3" ht="32" x14ac:dyDescent="0.2">
      <c r="A12" s="28" t="s">
        <v>91</v>
      </c>
      <c r="B12" s="29" t="s">
        <v>92</v>
      </c>
      <c r="C12" s="29"/>
    </row>
    <row r="13" spans="1:3" ht="16" x14ac:dyDescent="0.2">
      <c r="A13" s="24" t="s">
        <v>93</v>
      </c>
      <c r="B13" s="25"/>
      <c r="C13" s="25"/>
    </row>
    <row r="14" spans="1:3" ht="16" x14ac:dyDescent="0.2">
      <c r="A14" s="26" t="s">
        <v>89</v>
      </c>
      <c r="B14" s="27" t="s">
        <v>94</v>
      </c>
      <c r="C14" s="27" t="s">
        <v>164</v>
      </c>
    </row>
    <row r="15" spans="1:3" ht="16" x14ac:dyDescent="0.2">
      <c r="A15" s="30" t="s">
        <v>91</v>
      </c>
      <c r="B15" s="31" t="s">
        <v>95</v>
      </c>
      <c r="C15" s="31"/>
    </row>
    <row r="16" spans="1:3" ht="16" x14ac:dyDescent="0.2">
      <c r="A16" s="24" t="s">
        <v>96</v>
      </c>
      <c r="B16" s="25"/>
      <c r="C16" s="25"/>
    </row>
    <row r="17" spans="1:3" ht="16" x14ac:dyDescent="0.2">
      <c r="A17" s="28" t="s">
        <v>97</v>
      </c>
      <c r="B17" s="29" t="s">
        <v>98</v>
      </c>
      <c r="C17" s="29"/>
    </row>
    <row r="18" spans="1:3" ht="32" x14ac:dyDescent="0.2">
      <c r="A18" s="28" t="s">
        <v>99</v>
      </c>
      <c r="B18" s="29" t="s">
        <v>100</v>
      </c>
      <c r="C18" s="29" t="s">
        <v>101</v>
      </c>
    </row>
    <row r="19" spans="1:3" ht="16" x14ac:dyDescent="0.2">
      <c r="A19" s="24" t="s">
        <v>102</v>
      </c>
      <c r="B19" s="25"/>
      <c r="C19" s="25"/>
    </row>
    <row r="20" spans="1:3" ht="32" x14ac:dyDescent="0.2">
      <c r="A20" s="26" t="s">
        <v>103</v>
      </c>
      <c r="B20" s="27" t="s">
        <v>104</v>
      </c>
      <c r="C20" s="27" t="s">
        <v>105</v>
      </c>
    </row>
    <row r="21" spans="1:3" ht="16" x14ac:dyDescent="0.2">
      <c r="A21" s="26" t="s">
        <v>106</v>
      </c>
      <c r="B21" s="27" t="s">
        <v>107</v>
      </c>
      <c r="C21" s="27" t="s">
        <v>108</v>
      </c>
    </row>
    <row r="22" spans="1:3" ht="16" x14ac:dyDescent="0.2">
      <c r="A22" s="26" t="s">
        <v>109</v>
      </c>
      <c r="B22" s="27" t="s">
        <v>110</v>
      </c>
      <c r="C22" s="27" t="s">
        <v>108</v>
      </c>
    </row>
    <row r="23" spans="1:3" ht="16" x14ac:dyDescent="0.2">
      <c r="A23" s="26" t="s">
        <v>111</v>
      </c>
      <c r="B23" s="27" t="s">
        <v>112</v>
      </c>
      <c r="C23" s="27" t="s">
        <v>113</v>
      </c>
    </row>
    <row r="24" spans="1:3" ht="16" x14ac:dyDescent="0.2">
      <c r="A24" s="24" t="s">
        <v>114</v>
      </c>
      <c r="B24" s="25"/>
      <c r="C24" s="25"/>
    </row>
    <row r="25" spans="1:3" ht="16" x14ac:dyDescent="0.2">
      <c r="A25" s="26" t="s">
        <v>80</v>
      </c>
      <c r="B25" s="27" t="s">
        <v>123</v>
      </c>
      <c r="C25" s="27" t="s">
        <v>165</v>
      </c>
    </row>
    <row r="26" spans="1:3" ht="16" x14ac:dyDescent="0.2">
      <c r="A26" s="26" t="s">
        <v>124</v>
      </c>
      <c r="B26" s="27" t="s">
        <v>125</v>
      </c>
      <c r="C26" s="27" t="s">
        <v>166</v>
      </c>
    </row>
    <row r="27" spans="1:3" ht="16" x14ac:dyDescent="0.2">
      <c r="A27" s="26" t="s">
        <v>126</v>
      </c>
      <c r="B27" s="27" t="s">
        <v>127</v>
      </c>
      <c r="C27" s="27"/>
    </row>
    <row r="28" spans="1:3" ht="16" x14ac:dyDescent="0.2">
      <c r="A28" s="26" t="s">
        <v>128</v>
      </c>
      <c r="B28" s="27" t="s">
        <v>129</v>
      </c>
      <c r="C28" s="27"/>
    </row>
    <row r="29" spans="1:3" ht="16" x14ac:dyDescent="0.2">
      <c r="A29" s="26" t="s">
        <v>134</v>
      </c>
      <c r="B29" s="27" t="s">
        <v>135</v>
      </c>
      <c r="C29" s="27"/>
    </row>
    <row r="30" spans="1:3" ht="16" x14ac:dyDescent="0.2">
      <c r="A30" s="24" t="s">
        <v>141</v>
      </c>
      <c r="B30" s="25"/>
      <c r="C30" s="25"/>
    </row>
    <row r="31" spans="1:3" ht="16" x14ac:dyDescent="0.2">
      <c r="A31" s="26" t="s">
        <v>115</v>
      </c>
      <c r="B31" s="27" t="s">
        <v>116</v>
      </c>
      <c r="C31" s="27"/>
    </row>
    <row r="32" spans="1:3" ht="16" x14ac:dyDescent="0.2">
      <c r="A32" s="26" t="s">
        <v>117</v>
      </c>
      <c r="B32" s="27" t="s">
        <v>118</v>
      </c>
      <c r="C32" s="27"/>
    </row>
    <row r="33" spans="1:3" ht="16" x14ac:dyDescent="0.2">
      <c r="A33" s="26" t="s">
        <v>139</v>
      </c>
      <c r="B33" s="27" t="s">
        <v>138</v>
      </c>
      <c r="C33" s="27"/>
    </row>
    <row r="34" spans="1:3" ht="32" x14ac:dyDescent="0.2">
      <c r="A34" s="26" t="s">
        <v>169</v>
      </c>
      <c r="B34" s="27"/>
      <c r="C34" s="27" t="s">
        <v>170</v>
      </c>
    </row>
    <row r="35" spans="1:3" ht="16" x14ac:dyDescent="0.2">
      <c r="A35" s="26" t="s">
        <v>119</v>
      </c>
      <c r="B35" s="27" t="s">
        <v>120</v>
      </c>
      <c r="C35" s="27"/>
    </row>
    <row r="36" spans="1:3" ht="16" x14ac:dyDescent="0.2">
      <c r="A36" s="24" t="s">
        <v>131</v>
      </c>
      <c r="B36" s="25"/>
      <c r="C36" s="25"/>
    </row>
    <row r="37" spans="1:3" ht="16" x14ac:dyDescent="0.2">
      <c r="A37" s="26" t="s">
        <v>132</v>
      </c>
      <c r="B37" s="27" t="s">
        <v>133</v>
      </c>
      <c r="C37" s="27"/>
    </row>
    <row r="38" spans="1:3" ht="16" x14ac:dyDescent="0.2">
      <c r="A38" s="26" t="s">
        <v>142</v>
      </c>
      <c r="B38" s="27" t="s">
        <v>143</v>
      </c>
      <c r="C38" s="27"/>
    </row>
    <row r="39" spans="1:3" ht="34" x14ac:dyDescent="0.2">
      <c r="A39" s="24" t="s">
        <v>121</v>
      </c>
      <c r="B39" s="25" t="s">
        <v>130</v>
      </c>
      <c r="C39" s="25" t="s">
        <v>122</v>
      </c>
    </row>
    <row r="40" spans="1:3" x14ac:dyDescent="0.2">
      <c r="A40" t="s">
        <v>140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77"/>
  <sheetViews>
    <sheetView topLeftCell="A41" zoomScale="140" zoomScaleNormal="140" workbookViewId="0">
      <selection activeCell="C79" sqref="C79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1" t="s">
        <v>1</v>
      </c>
    </row>
    <row r="2" spans="1:5" x14ac:dyDescent="0.2">
      <c r="A2" s="1"/>
    </row>
    <row r="3" spans="1:5" x14ac:dyDescent="0.2">
      <c r="A3" s="1" t="s">
        <v>3</v>
      </c>
    </row>
    <row r="4" spans="1:5" ht="16" x14ac:dyDescent="0.2">
      <c r="A4" t="s">
        <v>2</v>
      </c>
      <c r="B4">
        <v>4</v>
      </c>
      <c r="C4">
        <v>5</v>
      </c>
      <c r="D4" t="s">
        <v>0</v>
      </c>
      <c r="E4" s="2">
        <f>TM4_ProductFunc(B4,C4)</f>
        <v>20</v>
      </c>
    </row>
    <row r="6" spans="1:5" x14ac:dyDescent="0.2">
      <c r="A6" t="s">
        <v>7</v>
      </c>
    </row>
    <row r="7" spans="1:5" ht="16" x14ac:dyDescent="0.2">
      <c r="A7" s="3" t="s">
        <v>4</v>
      </c>
      <c r="B7" s="3" t="s">
        <v>5</v>
      </c>
      <c r="C7" s="3" t="s">
        <v>6</v>
      </c>
    </row>
    <row r="8" spans="1:5" ht="16" x14ac:dyDescent="0.2">
      <c r="A8" s="2">
        <v>1</v>
      </c>
      <c r="B8" s="2">
        <f>TM4_ConvertKg(A8)</f>
        <v>1000</v>
      </c>
      <c r="C8" s="2">
        <f t="shared" ref="C8:C13" si="0">TM4_ConvertKg(A8,FALSE)</f>
        <v>2.2046199999999998</v>
      </c>
    </row>
    <row r="9" spans="1:5" ht="16" x14ac:dyDescent="0.2">
      <c r="A9" s="2">
        <v>2</v>
      </c>
      <c r="B9" s="2">
        <f t="shared" ref="B9:B13" si="1">TM4_ConvertKg(A9)</f>
        <v>2000</v>
      </c>
      <c r="C9" s="2">
        <f t="shared" si="0"/>
        <v>4.4092399999999996</v>
      </c>
    </row>
    <row r="10" spans="1:5" ht="16" x14ac:dyDescent="0.2">
      <c r="A10" s="2">
        <v>4.5</v>
      </c>
      <c r="B10" s="2">
        <f t="shared" si="1"/>
        <v>4500</v>
      </c>
      <c r="C10" s="2">
        <f t="shared" si="0"/>
        <v>9.9207899999999984</v>
      </c>
    </row>
    <row r="11" spans="1:5" ht="16" x14ac:dyDescent="0.2">
      <c r="A11" s="2">
        <v>3.2</v>
      </c>
      <c r="B11" s="2">
        <f t="shared" si="1"/>
        <v>3200</v>
      </c>
      <c r="C11" s="2">
        <f t="shared" si="0"/>
        <v>7.0547839999999997</v>
      </c>
    </row>
    <row r="12" spans="1:5" ht="16" x14ac:dyDescent="0.2">
      <c r="A12" s="2">
        <v>20.6</v>
      </c>
      <c r="B12" s="2">
        <f t="shared" si="1"/>
        <v>20600</v>
      </c>
      <c r="C12" s="2">
        <f t="shared" si="0"/>
        <v>45.415171999999998</v>
      </c>
    </row>
    <row r="13" spans="1:5" ht="16" x14ac:dyDescent="0.2">
      <c r="A13" s="2">
        <v>0</v>
      </c>
      <c r="B13" s="2">
        <f t="shared" si="1"/>
        <v>0</v>
      </c>
      <c r="C13" s="2">
        <f t="shared" si="0"/>
        <v>0</v>
      </c>
    </row>
    <row r="15" spans="1:5" x14ac:dyDescent="0.2">
      <c r="A15" t="s">
        <v>11</v>
      </c>
    </row>
    <row r="16" spans="1:5" x14ac:dyDescent="0.2">
      <c r="A16" t="s">
        <v>9</v>
      </c>
      <c r="B16" t="s">
        <v>10</v>
      </c>
      <c r="C16" t="s">
        <v>8</v>
      </c>
      <c r="D16" t="s">
        <v>13</v>
      </c>
    </row>
    <row r="18" spans="1:1" x14ac:dyDescent="0.2">
      <c r="A18" t="s">
        <v>12</v>
      </c>
    </row>
    <row r="33" spans="1:5" x14ac:dyDescent="0.2">
      <c r="A33" t="s">
        <v>14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15</v>
      </c>
    </row>
    <row r="47" spans="1:5" x14ac:dyDescent="0.2">
      <c r="A47" s="1" t="s">
        <v>144</v>
      </c>
    </row>
    <row r="48" spans="1:5" ht="34" x14ac:dyDescent="0.2">
      <c r="A48" s="2" t="s">
        <v>145</v>
      </c>
      <c r="B48" s="2" t="s">
        <v>146</v>
      </c>
      <c r="C48" s="33" t="s">
        <v>147</v>
      </c>
    </row>
    <row r="49" spans="1:3" ht="16" x14ac:dyDescent="0.2">
      <c r="A49" s="2">
        <v>100</v>
      </c>
      <c r="B49" s="2">
        <v>0.2</v>
      </c>
      <c r="C49" s="2">
        <f>TM4_Discount(B49,A49)</f>
        <v>80</v>
      </c>
    </row>
    <row r="50" spans="1:3" ht="16" x14ac:dyDescent="0.2">
      <c r="A50" s="2">
        <v>34</v>
      </c>
      <c r="B50" s="2">
        <v>0.03</v>
      </c>
      <c r="C50" s="2">
        <f t="shared" ref="C50:C51" si="2">TM4_Discount(B50,A50)</f>
        <v>32.979999999999997</v>
      </c>
    </row>
    <row r="51" spans="1:3" ht="16" x14ac:dyDescent="0.2">
      <c r="A51" s="2">
        <v>200</v>
      </c>
      <c r="B51" s="2">
        <v>0.1</v>
      </c>
      <c r="C51" s="2">
        <f t="shared" si="2"/>
        <v>180</v>
      </c>
    </row>
    <row r="53" spans="1:3" x14ac:dyDescent="0.2">
      <c r="A53" s="1" t="s">
        <v>148</v>
      </c>
    </row>
    <row r="54" spans="1:3" ht="16" x14ac:dyDescent="0.2">
      <c r="A54" s="2" t="s">
        <v>149</v>
      </c>
      <c r="B54" s="2" t="s">
        <v>150</v>
      </c>
      <c r="C54" s="2" t="s">
        <v>154</v>
      </c>
    </row>
    <row r="55" spans="1:3" ht="16" x14ac:dyDescent="0.2">
      <c r="A55" s="2">
        <v>2</v>
      </c>
      <c r="B55" s="2">
        <v>5</v>
      </c>
      <c r="C55" s="2" t="b">
        <f>TM4_Larger(A55,B55)</f>
        <v>0</v>
      </c>
    </row>
    <row r="56" spans="1:3" ht="16" x14ac:dyDescent="0.2">
      <c r="A56" s="2">
        <v>6</v>
      </c>
      <c r="B56" s="2">
        <v>3</v>
      </c>
      <c r="C56" s="2" t="b">
        <f t="shared" ref="C56:C57" si="3">TM4_Larger(A56,B56)</f>
        <v>1</v>
      </c>
    </row>
    <row r="57" spans="1:3" ht="16" x14ac:dyDescent="0.2">
      <c r="A57" s="2">
        <v>7</v>
      </c>
      <c r="B57" s="2">
        <v>7</v>
      </c>
      <c r="C57" s="2" t="b">
        <f t="shared" si="3"/>
        <v>0</v>
      </c>
    </row>
    <row r="59" spans="1:3" x14ac:dyDescent="0.2">
      <c r="A59" s="1" t="s">
        <v>151</v>
      </c>
    </row>
    <row r="60" spans="1:3" ht="16" x14ac:dyDescent="0.2">
      <c r="A60" s="2" t="s">
        <v>152</v>
      </c>
      <c r="B60" s="2" t="s">
        <v>153</v>
      </c>
    </row>
    <row r="61" spans="1:3" ht="16" x14ac:dyDescent="0.2">
      <c r="A61" s="32">
        <v>44177</v>
      </c>
      <c r="B61" s="2">
        <f>TM4_NumbDays(A61)</f>
        <v>-591</v>
      </c>
    </row>
    <row r="62" spans="1:3" ht="16" x14ac:dyDescent="0.2">
      <c r="A62" s="32">
        <v>44852</v>
      </c>
      <c r="B62" s="2">
        <f t="shared" ref="B62:B63" si="4">TM4_NumbDays(A62)</f>
        <v>84</v>
      </c>
    </row>
    <row r="63" spans="1:3" ht="16" x14ac:dyDescent="0.2">
      <c r="A63" s="32">
        <v>43853</v>
      </c>
      <c r="B63" s="2">
        <f t="shared" si="4"/>
        <v>-915</v>
      </c>
    </row>
    <row r="66" spans="1:5" x14ac:dyDescent="0.2">
      <c r="A66" s="1" t="s">
        <v>158</v>
      </c>
    </row>
    <row r="67" spans="1:5" ht="16" x14ac:dyDescent="0.2">
      <c r="A67" s="2" t="s">
        <v>159</v>
      </c>
      <c r="B67" s="2" t="s">
        <v>155</v>
      </c>
      <c r="C67" s="2" t="s">
        <v>160</v>
      </c>
      <c r="E67" s="35" t="s">
        <v>161</v>
      </c>
    </row>
    <row r="68" spans="1:5" ht="16" x14ac:dyDescent="0.2">
      <c r="A68" s="34">
        <v>-40</v>
      </c>
      <c r="B68" s="34" t="s">
        <v>157</v>
      </c>
      <c r="C68" s="34">
        <f>TM4_ConvertTemp(A68,B68)</f>
        <v>-40</v>
      </c>
      <c r="E68" s="35">
        <v>-40</v>
      </c>
    </row>
    <row r="69" spans="1:5" ht="16" x14ac:dyDescent="0.2">
      <c r="A69" s="34">
        <v>-40</v>
      </c>
      <c r="B69" s="34" t="s">
        <v>156</v>
      </c>
      <c r="C69" s="34">
        <f t="shared" ref="C69:C77" si="5">TM4_ConvertTemp(A69,B69)</f>
        <v>-40</v>
      </c>
      <c r="E69" s="35">
        <v>-40</v>
      </c>
    </row>
    <row r="70" spans="1:5" ht="16" x14ac:dyDescent="0.2">
      <c r="A70" s="34">
        <v>-20</v>
      </c>
      <c r="B70" s="34" t="s">
        <v>156</v>
      </c>
      <c r="C70" s="34">
        <f t="shared" si="5"/>
        <v>-28.888888888888889</v>
      </c>
      <c r="E70" s="35">
        <v>-28.888888888888889</v>
      </c>
    </row>
    <row r="71" spans="1:5" ht="16" x14ac:dyDescent="0.2">
      <c r="A71" s="34">
        <v>0</v>
      </c>
      <c r="B71" s="34" t="s">
        <v>156</v>
      </c>
      <c r="C71" s="34">
        <f t="shared" si="5"/>
        <v>-17.777777777777779</v>
      </c>
      <c r="E71" s="35">
        <v>-17.777777777777779</v>
      </c>
    </row>
    <row r="72" spans="1:5" ht="16" x14ac:dyDescent="0.2">
      <c r="A72" s="34">
        <v>20</v>
      </c>
      <c r="B72" s="34" t="s">
        <v>156</v>
      </c>
      <c r="C72" s="34">
        <f t="shared" si="5"/>
        <v>-6.666666666666667</v>
      </c>
      <c r="E72" s="35">
        <v>-6.666666666666667</v>
      </c>
    </row>
    <row r="73" spans="1:5" ht="16" x14ac:dyDescent="0.2">
      <c r="A73" s="34">
        <v>40</v>
      </c>
      <c r="B73" s="34" t="s">
        <v>156</v>
      </c>
      <c r="C73" s="34">
        <f t="shared" si="5"/>
        <v>4.4444444444444446</v>
      </c>
      <c r="E73" s="35">
        <v>4.4444444444444446</v>
      </c>
    </row>
    <row r="74" spans="1:5" ht="16" x14ac:dyDescent="0.2">
      <c r="A74" s="34">
        <v>-28.888888999999999</v>
      </c>
      <c r="B74" s="34" t="s">
        <v>157</v>
      </c>
      <c r="C74" s="34">
        <f t="shared" si="5"/>
        <v>-20.000000199999999</v>
      </c>
      <c r="E74" s="35">
        <v>-20.000000199999999</v>
      </c>
    </row>
    <row r="75" spans="1:5" ht="16" x14ac:dyDescent="0.2">
      <c r="A75" s="34">
        <v>-17.777778000000001</v>
      </c>
      <c r="B75" s="34" t="s">
        <v>157</v>
      </c>
      <c r="C75" s="34">
        <f t="shared" si="5"/>
        <v>-4.0000000254419854E-7</v>
      </c>
      <c r="E75" s="35">
        <v>-4.0000000254419854E-7</v>
      </c>
    </row>
    <row r="76" spans="1:5" ht="16" x14ac:dyDescent="0.2">
      <c r="A76" s="34">
        <v>-6.6666667000000004</v>
      </c>
      <c r="B76" s="34" t="s">
        <v>157</v>
      </c>
      <c r="C76" s="34">
        <f t="shared" si="5"/>
        <v>19.999999939999999</v>
      </c>
      <c r="E76" s="35">
        <v>19.999999939999999</v>
      </c>
    </row>
    <row r="77" spans="1:5" ht="16" x14ac:dyDescent="0.2">
      <c r="A77" s="34">
        <v>4.4444444399999998</v>
      </c>
      <c r="B77" s="34" t="s">
        <v>157</v>
      </c>
      <c r="C77" s="34">
        <f t="shared" si="5"/>
        <v>39.999999991999999</v>
      </c>
      <c r="E77" s="35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3F848-FE0A-BC4E-B262-E56EEDC56479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2" t="s">
        <v>66</v>
      </c>
      <c r="B1" s="2"/>
      <c r="C1" s="2"/>
      <c r="D1" s="2">
        <v>30</v>
      </c>
    </row>
    <row r="2" spans="1:8" ht="16" x14ac:dyDescent="0.2">
      <c r="A2" s="2" t="s">
        <v>67</v>
      </c>
      <c r="B2" s="2"/>
      <c r="C2" s="2"/>
      <c r="D2" s="2">
        <v>10</v>
      </c>
    </row>
    <row r="3" spans="1:8" ht="16" x14ac:dyDescent="0.2">
      <c r="A3" s="2" t="s">
        <v>68</v>
      </c>
      <c r="B3" s="2"/>
      <c r="C3" s="2"/>
      <c r="D3" s="2">
        <v>3</v>
      </c>
    </row>
    <row r="5" spans="1:8" x14ac:dyDescent="0.2">
      <c r="A5" t="s">
        <v>69</v>
      </c>
      <c r="F5" t="s">
        <v>70</v>
      </c>
    </row>
    <row r="6" spans="1:8" ht="16" x14ac:dyDescent="0.2">
      <c r="A6" s="18" t="s">
        <v>71</v>
      </c>
      <c r="B6" s="18" t="s">
        <v>72</v>
      </c>
      <c r="C6" s="9" t="s">
        <v>73</v>
      </c>
      <c r="F6" s="2" t="s">
        <v>71</v>
      </c>
      <c r="G6" s="2" t="s">
        <v>72</v>
      </c>
      <c r="H6" s="9" t="s">
        <v>74</v>
      </c>
    </row>
    <row r="7" spans="1:8" ht="16" x14ac:dyDescent="0.2">
      <c r="A7" s="18">
        <v>1</v>
      </c>
      <c r="B7" s="18">
        <v>200.87</v>
      </c>
      <c r="C7" s="9"/>
      <c r="F7" s="18">
        <v>1</v>
      </c>
      <c r="G7" s="18">
        <v>159.13999999999999</v>
      </c>
      <c r="H7" s="9"/>
    </row>
    <row r="8" spans="1:8" ht="16" x14ac:dyDescent="0.2">
      <c r="A8" s="18">
        <v>2</v>
      </c>
      <c r="B8" s="18">
        <v>196.43</v>
      </c>
      <c r="C8" s="9"/>
      <c r="F8" s="18">
        <v>2</v>
      </c>
      <c r="G8" s="18">
        <v>197.21</v>
      </c>
      <c r="H8" s="9"/>
    </row>
    <row r="9" spans="1:8" ht="16" x14ac:dyDescent="0.2">
      <c r="A9" s="18">
        <v>3</v>
      </c>
      <c r="B9" s="18">
        <v>159.31</v>
      </c>
      <c r="C9" s="9"/>
      <c r="F9" s="18">
        <v>3</v>
      </c>
      <c r="G9" s="18">
        <v>201.17</v>
      </c>
      <c r="H9" s="9"/>
    </row>
    <row r="10" spans="1:8" ht="16" x14ac:dyDescent="0.2">
      <c r="A10" s="18">
        <v>4</v>
      </c>
      <c r="B10" s="18">
        <v>204.5</v>
      </c>
      <c r="C10" s="9"/>
      <c r="F10" s="18">
        <v>4</v>
      </c>
      <c r="G10" s="18">
        <v>202.96</v>
      </c>
      <c r="H10" s="9"/>
    </row>
    <row r="11" spans="1:8" ht="16" x14ac:dyDescent="0.2">
      <c r="A11" s="18">
        <v>5</v>
      </c>
      <c r="B11" s="18">
        <v>160.25</v>
      </c>
      <c r="C11" s="9"/>
      <c r="F11" s="18">
        <v>5</v>
      </c>
      <c r="G11" s="18">
        <v>158.66</v>
      </c>
      <c r="H11" s="9"/>
    </row>
    <row r="12" spans="1:8" ht="16" x14ac:dyDescent="0.2">
      <c r="A12" s="18">
        <v>6</v>
      </c>
      <c r="B12" s="18">
        <v>189.58</v>
      </c>
      <c r="C12" s="9"/>
      <c r="F12" s="18">
        <v>6</v>
      </c>
      <c r="G12" s="18">
        <v>190.96</v>
      </c>
      <c r="H12" s="9"/>
    </row>
    <row r="13" spans="1:8" ht="16" x14ac:dyDescent="0.2">
      <c r="A13" s="18">
        <v>7</v>
      </c>
      <c r="B13" s="18">
        <v>193.77</v>
      </c>
      <c r="C13" s="9"/>
      <c r="F13" s="18">
        <v>7</v>
      </c>
      <c r="G13" s="18">
        <v>205.62</v>
      </c>
      <c r="H13" s="9"/>
    </row>
    <row r="14" spans="1:8" ht="16" x14ac:dyDescent="0.2">
      <c r="A14" s="18">
        <v>8</v>
      </c>
      <c r="B14" s="18">
        <v>147.71</v>
      </c>
      <c r="C14" s="9"/>
      <c r="F14" s="18">
        <v>8</v>
      </c>
      <c r="G14" s="18">
        <v>197.73</v>
      </c>
      <c r="H14" s="9"/>
    </row>
    <row r="15" spans="1:8" ht="16" x14ac:dyDescent="0.2">
      <c r="A15" s="18">
        <v>9</v>
      </c>
      <c r="B15" s="18">
        <v>155.58000000000001</v>
      </c>
      <c r="C15" s="9"/>
      <c r="F15" s="18">
        <v>9</v>
      </c>
      <c r="G15" s="18">
        <v>207.68</v>
      </c>
      <c r="H15" s="9"/>
    </row>
    <row r="16" spans="1:8" ht="16" x14ac:dyDescent="0.2">
      <c r="A16" s="18">
        <v>10</v>
      </c>
      <c r="B16" s="18">
        <v>152.09</v>
      </c>
      <c r="C16" s="9"/>
      <c r="F16" s="18">
        <v>10</v>
      </c>
      <c r="G16" s="18">
        <v>204.61</v>
      </c>
      <c r="H16" s="9"/>
    </row>
    <row r="17" spans="1:3" ht="16" x14ac:dyDescent="0.2">
      <c r="A17" s="18">
        <v>11</v>
      </c>
      <c r="B17" s="18">
        <v>186.4</v>
      </c>
      <c r="C17" s="9"/>
    </row>
    <row r="18" spans="1:3" ht="16" x14ac:dyDescent="0.2">
      <c r="A18" s="18">
        <v>12</v>
      </c>
      <c r="B18" s="18">
        <v>160.58000000000001</v>
      </c>
      <c r="C18" s="9"/>
    </row>
    <row r="19" spans="1:3" ht="16" x14ac:dyDescent="0.2">
      <c r="A19" s="18">
        <v>13</v>
      </c>
      <c r="B19" s="18">
        <v>209.88</v>
      </c>
      <c r="C19" s="9"/>
    </row>
    <row r="20" spans="1:3" ht="16" x14ac:dyDescent="0.2">
      <c r="A20" s="18">
        <v>14</v>
      </c>
      <c r="B20" s="18">
        <v>196.8</v>
      </c>
      <c r="C20" s="9"/>
    </row>
    <row r="21" spans="1:3" ht="16" x14ac:dyDescent="0.2">
      <c r="A21" s="18">
        <v>15</v>
      </c>
      <c r="B21" s="18">
        <v>209.46</v>
      </c>
      <c r="C21" s="9"/>
    </row>
    <row r="22" spans="1:3" ht="16" x14ac:dyDescent="0.2">
      <c r="A22" s="18">
        <v>16</v>
      </c>
      <c r="B22" s="18">
        <v>163.94</v>
      </c>
      <c r="C22" s="9"/>
    </row>
    <row r="23" spans="1:3" ht="16" x14ac:dyDescent="0.2">
      <c r="A23" s="18">
        <v>17</v>
      </c>
      <c r="B23" s="18">
        <v>174.67</v>
      </c>
      <c r="C23" s="9"/>
    </row>
    <row r="24" spans="1:3" ht="16" x14ac:dyDescent="0.2">
      <c r="A24" s="18">
        <v>18</v>
      </c>
      <c r="B24" s="18">
        <v>172.66</v>
      </c>
      <c r="C24" s="9"/>
    </row>
    <row r="25" spans="1:3" ht="16" x14ac:dyDescent="0.2">
      <c r="A25" s="18">
        <v>19</v>
      </c>
      <c r="B25" s="18">
        <v>204.8</v>
      </c>
      <c r="C25" s="9"/>
    </row>
    <row r="26" spans="1:3" ht="16" x14ac:dyDescent="0.2">
      <c r="A26" s="18">
        <v>20</v>
      </c>
      <c r="B26" s="18">
        <v>160.86000000000001</v>
      </c>
      <c r="C26" s="9"/>
    </row>
    <row r="27" spans="1:3" ht="16" x14ac:dyDescent="0.2">
      <c r="A27" s="18">
        <v>21</v>
      </c>
      <c r="B27" s="18">
        <v>200.09</v>
      </c>
      <c r="C27" s="9"/>
    </row>
    <row r="28" spans="1:3" ht="16" x14ac:dyDescent="0.2">
      <c r="A28" s="18">
        <v>22</v>
      </c>
      <c r="B28" s="18">
        <v>168.7</v>
      </c>
      <c r="C28" s="9"/>
    </row>
    <row r="29" spans="1:3" ht="16" x14ac:dyDescent="0.2">
      <c r="A29" s="18">
        <v>23</v>
      </c>
      <c r="B29" s="18">
        <v>202.71</v>
      </c>
      <c r="C29" s="9"/>
    </row>
    <row r="30" spans="1:3" ht="16" x14ac:dyDescent="0.2">
      <c r="A30" s="18">
        <v>24</v>
      </c>
      <c r="B30" s="18">
        <v>207.18</v>
      </c>
      <c r="C30" s="9"/>
    </row>
    <row r="31" spans="1:3" ht="16" x14ac:dyDescent="0.2">
      <c r="A31" s="18">
        <v>25</v>
      </c>
      <c r="B31" s="18">
        <v>189.6</v>
      </c>
      <c r="C31" s="9"/>
    </row>
    <row r="32" spans="1:3" ht="16" x14ac:dyDescent="0.2">
      <c r="A32" s="18">
        <v>26</v>
      </c>
      <c r="B32" s="18">
        <v>201.94</v>
      </c>
      <c r="C32" s="9"/>
    </row>
    <row r="33" spans="1:3" ht="16" x14ac:dyDescent="0.2">
      <c r="A33" s="18">
        <v>27</v>
      </c>
      <c r="B33" s="18">
        <v>203.55</v>
      </c>
      <c r="C33" s="9"/>
    </row>
    <row r="34" spans="1:3" ht="16" x14ac:dyDescent="0.2">
      <c r="A34" s="18">
        <v>28</v>
      </c>
      <c r="B34" s="18">
        <v>194.47</v>
      </c>
      <c r="C34" s="9"/>
    </row>
    <row r="35" spans="1:3" ht="16" x14ac:dyDescent="0.2">
      <c r="A35" s="18">
        <v>29</v>
      </c>
      <c r="B35" s="18">
        <v>159.05000000000001</v>
      </c>
      <c r="C35" s="9"/>
    </row>
    <row r="36" spans="1:3" ht="16" x14ac:dyDescent="0.2">
      <c r="A36" s="18">
        <v>30</v>
      </c>
      <c r="B36" s="18">
        <v>159.63999999999999</v>
      </c>
      <c r="C36" s="9"/>
    </row>
    <row r="37" spans="1:3" x14ac:dyDescent="0.2">
      <c r="C37" s="5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85D89-DC96-054B-8C3D-34C1F6E57B42}">
  <sheetPr codeName="Sheet13"/>
  <dimension ref="A1:D41"/>
  <sheetViews>
    <sheetView workbookViewId="0">
      <selection activeCell="D7" sqref="D7"/>
    </sheetView>
  </sheetViews>
  <sheetFormatPr baseColWidth="10" defaultRowHeight="16" x14ac:dyDescent="0.2"/>
  <cols>
    <col min="1" max="1" width="7.1640625" style="36" customWidth="1"/>
    <col min="2" max="2" width="3.83203125" style="36" customWidth="1"/>
    <col min="3" max="3" width="9.5" style="36" customWidth="1"/>
    <col min="4" max="4" width="11.5" style="36" customWidth="1"/>
    <col min="5" max="16384" width="10.83203125" style="36"/>
  </cols>
  <sheetData>
    <row r="1" spans="1:4" x14ac:dyDescent="0.2">
      <c r="A1" s="36">
        <v>-823</v>
      </c>
      <c r="C1" s="36" t="s">
        <v>58</v>
      </c>
      <c r="D1" s="36">
        <v>915</v>
      </c>
    </row>
    <row r="2" spans="1:4" x14ac:dyDescent="0.2">
      <c r="A2" s="36">
        <v>-551</v>
      </c>
      <c r="C2" s="36" t="s">
        <v>59</v>
      </c>
      <c r="D2" s="36">
        <v>-966</v>
      </c>
    </row>
    <row r="3" spans="1:4" x14ac:dyDescent="0.2">
      <c r="A3" s="36">
        <v>-282</v>
      </c>
      <c r="C3" s="36" t="s">
        <v>162</v>
      </c>
      <c r="D3" s="37">
        <v>2816</v>
      </c>
    </row>
    <row r="4" spans="1:4" x14ac:dyDescent="0.2">
      <c r="A4" s="36">
        <v>786</v>
      </c>
      <c r="C4" s="36" t="s">
        <v>62</v>
      </c>
      <c r="D4" s="36">
        <v>24</v>
      </c>
    </row>
    <row r="5" spans="1:4" x14ac:dyDescent="0.2">
      <c r="A5" s="36">
        <v>172</v>
      </c>
      <c r="C5" s="36" t="s">
        <v>63</v>
      </c>
      <c r="D5" s="36">
        <v>26</v>
      </c>
    </row>
    <row r="6" spans="1:4" x14ac:dyDescent="0.2">
      <c r="A6" s="36">
        <v>-966</v>
      </c>
    </row>
    <row r="7" spans="1:4" x14ac:dyDescent="0.2">
      <c r="A7" s="36">
        <v>-246</v>
      </c>
    </row>
    <row r="8" spans="1:4" x14ac:dyDescent="0.2">
      <c r="A8" s="36">
        <v>889</v>
      </c>
    </row>
    <row r="9" spans="1:4" x14ac:dyDescent="0.2">
      <c r="A9" s="36">
        <v>24</v>
      </c>
    </row>
    <row r="10" spans="1:4" x14ac:dyDescent="0.2">
      <c r="A10" s="36">
        <v>86</v>
      </c>
    </row>
    <row r="11" spans="1:4" x14ac:dyDescent="0.2">
      <c r="A11" s="36">
        <v>-811</v>
      </c>
    </row>
    <row r="12" spans="1:4" x14ac:dyDescent="0.2">
      <c r="A12" s="36">
        <v>366</v>
      </c>
    </row>
    <row r="13" spans="1:4" x14ac:dyDescent="0.2">
      <c r="A13" s="36">
        <v>878</v>
      </c>
    </row>
    <row r="14" spans="1:4" x14ac:dyDescent="0.2">
      <c r="A14" s="36">
        <v>900</v>
      </c>
    </row>
    <row r="15" spans="1:4" x14ac:dyDescent="0.2">
      <c r="A15" s="36">
        <v>-309</v>
      </c>
    </row>
    <row r="16" spans="1:4" x14ac:dyDescent="0.2">
      <c r="A16" s="36">
        <v>824</v>
      </c>
    </row>
    <row r="17" spans="1:1" x14ac:dyDescent="0.2">
      <c r="A17" s="36">
        <v>-426</v>
      </c>
    </row>
    <row r="18" spans="1:1" x14ac:dyDescent="0.2">
      <c r="A18" s="36">
        <v>-194</v>
      </c>
    </row>
    <row r="19" spans="1:1" x14ac:dyDescent="0.2">
      <c r="A19" s="36">
        <v>194</v>
      </c>
    </row>
    <row r="20" spans="1:1" x14ac:dyDescent="0.2">
      <c r="A20" s="36">
        <v>309</v>
      </c>
    </row>
    <row r="21" spans="1:1" x14ac:dyDescent="0.2">
      <c r="A21" s="36">
        <v>484</v>
      </c>
    </row>
    <row r="22" spans="1:1" x14ac:dyDescent="0.2">
      <c r="A22" s="36">
        <v>-813</v>
      </c>
    </row>
    <row r="23" spans="1:1" x14ac:dyDescent="0.2">
      <c r="A23" s="36">
        <v>345</v>
      </c>
    </row>
    <row r="24" spans="1:1" x14ac:dyDescent="0.2">
      <c r="A24" s="36">
        <v>-494</v>
      </c>
    </row>
    <row r="25" spans="1:1" x14ac:dyDescent="0.2">
      <c r="A25" s="36">
        <v>243</v>
      </c>
    </row>
    <row r="26" spans="1:1" x14ac:dyDescent="0.2">
      <c r="A26" s="36">
        <v>915</v>
      </c>
    </row>
    <row r="27" spans="1:1" x14ac:dyDescent="0.2">
      <c r="A27" s="36">
        <v>-734</v>
      </c>
    </row>
    <row r="28" spans="1:1" x14ac:dyDescent="0.2">
      <c r="A28" s="36">
        <v>183</v>
      </c>
    </row>
    <row r="29" spans="1:1" x14ac:dyDescent="0.2">
      <c r="A29" s="36">
        <v>511</v>
      </c>
    </row>
    <row r="30" spans="1:1" x14ac:dyDescent="0.2">
      <c r="A30" s="36">
        <v>-796</v>
      </c>
    </row>
    <row r="31" spans="1:1" x14ac:dyDescent="0.2">
      <c r="A31" s="36">
        <v>786</v>
      </c>
    </row>
    <row r="32" spans="1:1" x14ac:dyDescent="0.2">
      <c r="A32" s="36">
        <v>553</v>
      </c>
    </row>
    <row r="33" spans="1:4" x14ac:dyDescent="0.2">
      <c r="A33" s="36">
        <v>-22</v>
      </c>
    </row>
    <row r="34" spans="1:4" x14ac:dyDescent="0.2">
      <c r="A34" s="36">
        <v>508</v>
      </c>
    </row>
    <row r="35" spans="1:4" x14ac:dyDescent="0.2">
      <c r="A35" s="36">
        <v>-417</v>
      </c>
    </row>
    <row r="36" spans="1:4" x14ac:dyDescent="0.2">
      <c r="A36" s="36">
        <v>759</v>
      </c>
    </row>
    <row r="37" spans="1:4" x14ac:dyDescent="0.2">
      <c r="A37" s="36">
        <v>367</v>
      </c>
    </row>
    <row r="38" spans="1:4" x14ac:dyDescent="0.2">
      <c r="A38" s="36">
        <v>65</v>
      </c>
    </row>
    <row r="39" spans="1:4" x14ac:dyDescent="0.2">
      <c r="A39" s="36">
        <v>346</v>
      </c>
    </row>
    <row r="40" spans="1:4" x14ac:dyDescent="0.2">
      <c r="A40" s="36">
        <v>-793</v>
      </c>
    </row>
    <row r="41" spans="1:4" x14ac:dyDescent="0.2">
      <c r="D41" s="36" t="s">
        <v>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29114-65BC-C547-93C9-9706D90DE581}">
  <sheetPr codeName="Sheet5"/>
  <dimension ref="A1:E100"/>
  <sheetViews>
    <sheetView workbookViewId="0">
      <selection activeCell="H22" sqref="H22"/>
    </sheetView>
  </sheetViews>
  <sheetFormatPr baseColWidth="10" defaultRowHeight="15" x14ac:dyDescent="0.2"/>
  <cols>
    <col min="1" max="1" width="13.5" style="5" customWidth="1"/>
    <col min="2" max="2" width="13" style="5" customWidth="1"/>
    <col min="3" max="3" width="13.6640625" style="5" customWidth="1"/>
    <col min="4" max="4" width="14.5" style="5" customWidth="1"/>
    <col min="5" max="5" width="10.83203125" style="5"/>
  </cols>
  <sheetData>
    <row r="1" spans="1:5" x14ac:dyDescent="0.2">
      <c r="A1" s="4" t="s">
        <v>16</v>
      </c>
    </row>
    <row r="3" spans="1:5" x14ac:dyDescent="0.2">
      <c r="A3" s="6" t="s">
        <v>17</v>
      </c>
    </row>
    <row r="5" spans="1:5" x14ac:dyDescent="0.2">
      <c r="A5" s="5" t="s">
        <v>18</v>
      </c>
      <c r="B5" s="5" t="s">
        <v>19</v>
      </c>
      <c r="C5" s="5" t="s">
        <v>19</v>
      </c>
      <c r="D5" s="5" t="s">
        <v>20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BC7C0-799E-4B44-991D-8D7D90333FFC}">
  <sheetPr codeName="Sheet2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1" t="s">
        <v>21</v>
      </c>
      <c r="B1" s="1" t="s">
        <v>22</v>
      </c>
      <c r="C1" s="1" t="s">
        <v>23</v>
      </c>
      <c r="D1" s="1" t="s">
        <v>24</v>
      </c>
    </row>
    <row r="2" spans="1:4" x14ac:dyDescent="0.2">
      <c r="A2" t="s">
        <v>25</v>
      </c>
      <c r="B2" t="s">
        <v>23</v>
      </c>
    </row>
    <row r="3" spans="1:4" x14ac:dyDescent="0.2">
      <c r="A3" t="s">
        <v>26</v>
      </c>
      <c r="B3" t="s">
        <v>27</v>
      </c>
    </row>
    <row r="4" spans="1:4" x14ac:dyDescent="0.2">
      <c r="A4" t="s">
        <v>28</v>
      </c>
      <c r="B4" t="s">
        <v>29</v>
      </c>
    </row>
    <row r="5" spans="1:4" x14ac:dyDescent="0.2">
      <c r="A5" t="s">
        <v>30</v>
      </c>
      <c r="B5" t="s">
        <v>23</v>
      </c>
    </row>
    <row r="6" spans="1:4" x14ac:dyDescent="0.2">
      <c r="A6" t="s">
        <v>31</v>
      </c>
      <c r="B6" t="s">
        <v>23</v>
      </c>
    </row>
    <row r="7" spans="1:4" x14ac:dyDescent="0.2">
      <c r="A7" t="s">
        <v>32</v>
      </c>
      <c r="B7" t="s">
        <v>27</v>
      </c>
    </row>
    <row r="8" spans="1:4" x14ac:dyDescent="0.2">
      <c r="A8" t="s">
        <v>33</v>
      </c>
      <c r="B8" t="s">
        <v>29</v>
      </c>
    </row>
    <row r="9" spans="1:4" x14ac:dyDescent="0.2">
      <c r="A9" t="s">
        <v>34</v>
      </c>
      <c r="B9" t="s">
        <v>27</v>
      </c>
    </row>
    <row r="10" spans="1:4" x14ac:dyDescent="0.2">
      <c r="A10" t="s">
        <v>35</v>
      </c>
      <c r="B10" t="s">
        <v>36</v>
      </c>
    </row>
    <row r="11" spans="1:4" x14ac:dyDescent="0.2">
      <c r="A11" t="s">
        <v>37</v>
      </c>
      <c r="B11" t="s">
        <v>23</v>
      </c>
    </row>
    <row r="12" spans="1:4" x14ac:dyDescent="0.2">
      <c r="A12" t="s">
        <v>38</v>
      </c>
      <c r="B12" t="s">
        <v>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C5E54-E5C0-784F-8B91-218BA2E5A89B}">
  <sheetPr codeName="Sheet3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1" t="s">
        <v>21</v>
      </c>
      <c r="B1" s="1" t="s">
        <v>22</v>
      </c>
      <c r="C1" s="1" t="s">
        <v>23</v>
      </c>
      <c r="D1" s="1" t="s">
        <v>27</v>
      </c>
      <c r="E1" s="1" t="s">
        <v>24</v>
      </c>
      <c r="F1" s="1"/>
      <c r="G1" s="1"/>
    </row>
    <row r="2" spans="1:7" x14ac:dyDescent="0.2">
      <c r="A2" t="s">
        <v>25</v>
      </c>
      <c r="B2" t="s">
        <v>23</v>
      </c>
    </row>
    <row r="3" spans="1:7" x14ac:dyDescent="0.2">
      <c r="A3" t="s">
        <v>26</v>
      </c>
      <c r="B3" t="s">
        <v>27</v>
      </c>
    </row>
    <row r="4" spans="1:7" x14ac:dyDescent="0.2">
      <c r="A4" t="s">
        <v>28</v>
      </c>
      <c r="B4" t="s">
        <v>29</v>
      </c>
    </row>
    <row r="5" spans="1:7" x14ac:dyDescent="0.2">
      <c r="A5" t="s">
        <v>30</v>
      </c>
      <c r="B5" t="s">
        <v>23</v>
      </c>
    </row>
    <row r="6" spans="1:7" x14ac:dyDescent="0.2">
      <c r="A6" t="s">
        <v>31</v>
      </c>
      <c r="B6" t="s">
        <v>23</v>
      </c>
    </row>
    <row r="7" spans="1:7" x14ac:dyDescent="0.2">
      <c r="A7" t="s">
        <v>32</v>
      </c>
      <c r="B7" t="s">
        <v>27</v>
      </c>
    </row>
    <row r="8" spans="1:7" x14ac:dyDescent="0.2">
      <c r="A8" t="s">
        <v>33</v>
      </c>
      <c r="B8" t="s">
        <v>29</v>
      </c>
    </row>
    <row r="9" spans="1:7" x14ac:dyDescent="0.2">
      <c r="A9" t="s">
        <v>34</v>
      </c>
      <c r="B9" t="s">
        <v>27</v>
      </c>
    </row>
    <row r="10" spans="1:7" x14ac:dyDescent="0.2">
      <c r="A10" t="s">
        <v>35</v>
      </c>
      <c r="B10" t="s">
        <v>36</v>
      </c>
    </row>
    <row r="11" spans="1:7" x14ac:dyDescent="0.2">
      <c r="A11" t="s">
        <v>37</v>
      </c>
      <c r="B11" t="s">
        <v>23</v>
      </c>
    </row>
    <row r="12" spans="1:7" x14ac:dyDescent="0.2">
      <c r="A12" t="s">
        <v>38</v>
      </c>
      <c r="B12" t="s">
        <v>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EBC59-4A01-8D45-922F-535C491299FD}">
  <sheetPr codeName="Sheet4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1" t="s">
        <v>21</v>
      </c>
      <c r="B1" s="1" t="s">
        <v>22</v>
      </c>
      <c r="C1" s="1" t="s">
        <v>23</v>
      </c>
      <c r="D1" s="1" t="s">
        <v>27</v>
      </c>
      <c r="E1" s="1" t="s">
        <v>29</v>
      </c>
      <c r="F1" s="1" t="s">
        <v>36</v>
      </c>
      <c r="G1" s="1" t="s">
        <v>24</v>
      </c>
    </row>
    <row r="2" spans="1:7" x14ac:dyDescent="0.2">
      <c r="A2" t="s">
        <v>25</v>
      </c>
      <c r="B2" t="s">
        <v>23</v>
      </c>
    </row>
    <row r="3" spans="1:7" x14ac:dyDescent="0.2">
      <c r="A3" t="s">
        <v>26</v>
      </c>
      <c r="B3" t="s">
        <v>27</v>
      </c>
    </row>
    <row r="4" spans="1:7" x14ac:dyDescent="0.2">
      <c r="A4" t="s">
        <v>28</v>
      </c>
      <c r="B4" t="s">
        <v>29</v>
      </c>
    </row>
    <row r="5" spans="1:7" x14ac:dyDescent="0.2">
      <c r="A5" t="s">
        <v>30</v>
      </c>
      <c r="B5" t="s">
        <v>23</v>
      </c>
    </row>
    <row r="6" spans="1:7" x14ac:dyDescent="0.2">
      <c r="A6" t="s">
        <v>31</v>
      </c>
      <c r="B6" t="s">
        <v>23</v>
      </c>
    </row>
    <row r="7" spans="1:7" x14ac:dyDescent="0.2">
      <c r="A7" t="s">
        <v>32</v>
      </c>
      <c r="B7" t="s">
        <v>27</v>
      </c>
    </row>
    <row r="8" spans="1:7" x14ac:dyDescent="0.2">
      <c r="A8" t="s">
        <v>33</v>
      </c>
      <c r="B8" t="s">
        <v>29</v>
      </c>
    </row>
    <row r="9" spans="1:7" x14ac:dyDescent="0.2">
      <c r="A9" t="s">
        <v>34</v>
      </c>
      <c r="B9" t="s">
        <v>27</v>
      </c>
    </row>
    <row r="10" spans="1:7" x14ac:dyDescent="0.2">
      <c r="A10" t="s">
        <v>35</v>
      </c>
      <c r="B10" t="s">
        <v>36</v>
      </c>
    </row>
    <row r="11" spans="1:7" x14ac:dyDescent="0.2">
      <c r="A11" t="s">
        <v>37</v>
      </c>
      <c r="B11" t="s">
        <v>23</v>
      </c>
    </row>
    <row r="12" spans="1:7" x14ac:dyDescent="0.2">
      <c r="A12" t="s">
        <v>38</v>
      </c>
      <c r="B12" t="s">
        <v>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F9521-084E-B94A-97BB-EC7F51639BD2}">
  <sheetPr codeName="Sheet6"/>
  <dimension ref="A1:P15"/>
  <sheetViews>
    <sheetView zoomScale="130" zoomScaleNormal="130" workbookViewId="0">
      <selection activeCell="Q24" sqref="Q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7" t="s">
        <v>40</v>
      </c>
      <c r="B1" s="7" t="s">
        <v>41</v>
      </c>
      <c r="C1" s="7" t="s">
        <v>42</v>
      </c>
      <c r="D1" s="8" t="s">
        <v>43</v>
      </c>
      <c r="E1" s="9">
        <v>10</v>
      </c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</row>
    <row r="2" spans="1:16" x14ac:dyDescent="0.2">
      <c r="A2" s="11">
        <v>1</v>
      </c>
      <c r="B2" s="11">
        <v>6</v>
      </c>
      <c r="C2" s="11">
        <v>1</v>
      </c>
      <c r="E2" s="5"/>
      <c r="F2" s="10"/>
      <c r="G2" s="12"/>
      <c r="H2" s="12"/>
      <c r="I2" s="12"/>
      <c r="J2" s="12"/>
      <c r="K2" s="12"/>
      <c r="L2" s="12"/>
      <c r="M2" s="12"/>
      <c r="N2" s="12"/>
      <c r="O2" s="12"/>
      <c r="P2" s="12"/>
    </row>
    <row r="3" spans="1:16" x14ac:dyDescent="0.2">
      <c r="A3" s="11">
        <v>2</v>
      </c>
      <c r="B3" s="11">
        <v>1</v>
      </c>
      <c r="C3" s="11">
        <v>5</v>
      </c>
      <c r="E3" s="5"/>
      <c r="F3" s="10"/>
      <c r="G3" s="12"/>
      <c r="H3" s="12"/>
      <c r="I3" s="12"/>
      <c r="J3" s="12"/>
      <c r="K3" s="12"/>
      <c r="L3" s="12"/>
      <c r="M3" s="12"/>
      <c r="N3" s="12"/>
      <c r="O3" s="12"/>
      <c r="P3" s="12"/>
    </row>
    <row r="4" spans="1:16" x14ac:dyDescent="0.2">
      <c r="A4" s="11">
        <v>3</v>
      </c>
      <c r="B4" s="11">
        <v>6</v>
      </c>
      <c r="C4" s="11">
        <v>3</v>
      </c>
      <c r="E4" s="5"/>
      <c r="F4" s="10"/>
      <c r="G4" s="12"/>
      <c r="H4" s="12"/>
      <c r="I4" s="12"/>
      <c r="J4" s="12"/>
      <c r="K4" s="12"/>
      <c r="L4" s="12"/>
      <c r="M4" s="12"/>
      <c r="N4" s="12"/>
      <c r="O4" s="12"/>
      <c r="P4" s="12"/>
    </row>
    <row r="5" spans="1:16" x14ac:dyDescent="0.2">
      <c r="A5" s="11">
        <v>4</v>
      </c>
      <c r="B5" s="11">
        <v>7</v>
      </c>
      <c r="C5" s="11">
        <v>4</v>
      </c>
      <c r="E5" s="5"/>
      <c r="F5" s="10"/>
      <c r="G5" s="12"/>
      <c r="H5" s="12"/>
      <c r="I5" s="12"/>
      <c r="J5" s="12"/>
      <c r="K5" s="12"/>
      <c r="L5" s="12"/>
      <c r="M5" s="12"/>
      <c r="N5" s="12"/>
      <c r="O5" s="12"/>
      <c r="P5" s="12"/>
    </row>
    <row r="6" spans="1:16" x14ac:dyDescent="0.2">
      <c r="A6" s="11">
        <v>5</v>
      </c>
      <c r="B6" s="11">
        <v>4</v>
      </c>
      <c r="C6" s="11">
        <v>6</v>
      </c>
      <c r="E6" s="5"/>
      <c r="F6" s="10"/>
      <c r="G6" s="12"/>
      <c r="H6" s="12"/>
      <c r="I6" s="12"/>
      <c r="J6" s="12"/>
      <c r="K6" s="12"/>
      <c r="L6" s="12"/>
      <c r="M6" s="12"/>
      <c r="N6" s="12"/>
      <c r="O6" s="12"/>
      <c r="P6" s="12"/>
    </row>
    <row r="7" spans="1:16" x14ac:dyDescent="0.2">
      <c r="A7" s="11">
        <v>6</v>
      </c>
      <c r="B7" s="11">
        <v>4</v>
      </c>
      <c r="C7" s="11">
        <v>7</v>
      </c>
      <c r="E7" s="5"/>
      <c r="F7" s="10"/>
      <c r="G7" s="12"/>
      <c r="H7" s="12"/>
      <c r="I7" s="12"/>
      <c r="J7" s="12"/>
      <c r="K7" s="12"/>
      <c r="L7" s="12"/>
      <c r="M7" s="12"/>
      <c r="N7" s="12"/>
      <c r="O7" s="12"/>
      <c r="P7" s="12"/>
    </row>
    <row r="8" spans="1:16" x14ac:dyDescent="0.2">
      <c r="A8" s="11">
        <v>7</v>
      </c>
      <c r="B8" s="11">
        <v>5</v>
      </c>
      <c r="C8" s="11">
        <v>2</v>
      </c>
      <c r="E8" s="5"/>
      <c r="F8" s="10"/>
      <c r="G8" s="12"/>
      <c r="H8" s="12"/>
      <c r="I8" s="12"/>
      <c r="J8" s="12"/>
      <c r="K8" s="12"/>
      <c r="L8" s="12"/>
      <c r="M8" s="12"/>
      <c r="N8" s="12"/>
      <c r="O8" s="12"/>
      <c r="P8" s="12"/>
    </row>
    <row r="9" spans="1:16" x14ac:dyDescent="0.2">
      <c r="A9" s="11">
        <v>8</v>
      </c>
      <c r="B9" s="11">
        <v>1</v>
      </c>
      <c r="C9" s="11">
        <v>4</v>
      </c>
      <c r="E9" s="5"/>
      <c r="F9" s="10"/>
      <c r="G9" s="12"/>
      <c r="H9" s="12"/>
      <c r="I9" s="12"/>
      <c r="J9" s="12"/>
      <c r="K9" s="12"/>
      <c r="L9" s="12"/>
      <c r="M9" s="12"/>
      <c r="N9" s="12"/>
      <c r="O9" s="12"/>
      <c r="P9" s="12"/>
    </row>
    <row r="10" spans="1:16" x14ac:dyDescent="0.2">
      <c r="A10" s="11">
        <v>9</v>
      </c>
      <c r="B10" s="11">
        <v>4</v>
      </c>
      <c r="C10" s="11">
        <v>2</v>
      </c>
      <c r="E10" s="5"/>
      <c r="F10" s="10"/>
      <c r="G10" s="12"/>
      <c r="H10" s="12"/>
      <c r="I10" s="12"/>
      <c r="J10" s="12"/>
      <c r="K10" s="12"/>
      <c r="L10" s="12"/>
      <c r="M10" s="12"/>
      <c r="N10" s="12"/>
      <c r="O10" s="12"/>
      <c r="P10" s="12"/>
    </row>
    <row r="11" spans="1:16" x14ac:dyDescent="0.2">
      <c r="A11" s="11">
        <v>10</v>
      </c>
      <c r="B11" s="11">
        <v>6</v>
      </c>
      <c r="C11" s="11">
        <v>5</v>
      </c>
      <c r="E11" s="5"/>
      <c r="F11" s="10"/>
      <c r="G11" s="12"/>
      <c r="H11" s="12"/>
      <c r="I11" s="12"/>
      <c r="J11" s="12"/>
      <c r="K11" s="12"/>
      <c r="L11" s="12"/>
      <c r="M11" s="12"/>
      <c r="N11" s="12"/>
      <c r="O11" s="12"/>
      <c r="P11" s="12"/>
    </row>
    <row r="15" spans="1:16" x14ac:dyDescent="0.2">
      <c r="G15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1859F-E4EB-2549-BCE1-2AF636EB7714}">
  <sheetPr codeName="Sheet8"/>
  <dimension ref="A1:E35"/>
  <sheetViews>
    <sheetView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37257-547F-DC41-9FD1-3B3986FCD0B5}">
  <sheetPr codeName="Sheet7"/>
  <dimension ref="A1:E17"/>
  <sheetViews>
    <sheetView showGridLines="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1" t="s">
        <v>44</v>
      </c>
    </row>
    <row r="3" spans="1:5" ht="16" x14ac:dyDescent="0.2">
      <c r="A3" t="s">
        <v>45</v>
      </c>
      <c r="D3" s="14" t="s">
        <v>46</v>
      </c>
      <c r="E3" s="15"/>
    </row>
    <row r="4" spans="1:5" ht="16" x14ac:dyDescent="0.2">
      <c r="D4" s="15" t="s">
        <v>47</v>
      </c>
      <c r="E4" s="15" t="s">
        <v>48</v>
      </c>
    </row>
    <row r="5" spans="1:5" ht="16" x14ac:dyDescent="0.2">
      <c r="A5" t="s">
        <v>49</v>
      </c>
      <c r="D5" s="19" t="str">
        <f>TM2_StringJoin(D4,E4)</f>
        <v>Lars  Relund</v>
      </c>
      <c r="E5" s="20"/>
    </row>
    <row r="8" spans="1:5" ht="16" x14ac:dyDescent="0.2">
      <c r="D8" s="15" t="s">
        <v>50</v>
      </c>
      <c r="E8" s="15" t="s">
        <v>51</v>
      </c>
    </row>
    <row r="9" spans="1:5" ht="16" x14ac:dyDescent="0.2">
      <c r="D9" s="15">
        <v>0</v>
      </c>
      <c r="E9" s="15">
        <v>4</v>
      </c>
    </row>
    <row r="10" spans="1:5" ht="16" x14ac:dyDescent="0.2">
      <c r="D10" s="15">
        <v>2</v>
      </c>
      <c r="E10" s="15">
        <v>6</v>
      </c>
    </row>
    <row r="11" spans="1:5" ht="16" x14ac:dyDescent="0.2">
      <c r="D11" s="15">
        <v>3</v>
      </c>
      <c r="E11" s="15">
        <v>7</v>
      </c>
    </row>
    <row r="12" spans="1:5" ht="16" x14ac:dyDescent="0.2">
      <c r="D12" s="15">
        <v>5</v>
      </c>
      <c r="E12" s="15">
        <v>9</v>
      </c>
    </row>
    <row r="15" spans="1:5" x14ac:dyDescent="0.2">
      <c r="D15" t="s">
        <v>52</v>
      </c>
      <c r="E15" t="s">
        <v>53</v>
      </c>
    </row>
    <row r="16" spans="1:5" x14ac:dyDescent="0.2">
      <c r="D16" t="s">
        <v>54</v>
      </c>
      <c r="E16" t="s">
        <v>55</v>
      </c>
    </row>
    <row r="17" spans="4:5" x14ac:dyDescent="0.2">
      <c r="D17" t="s">
        <v>56</v>
      </c>
      <c r="E17" t="s">
        <v>57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4F767-07AB-6248-95EF-50A4E57461AD}">
  <sheetPr codeName="Sheet9"/>
  <dimension ref="A1:D41"/>
  <sheetViews>
    <sheetView workbookViewId="0">
      <selection activeCell="M21" sqref="M21"/>
    </sheetView>
  </sheetViews>
  <sheetFormatPr baseColWidth="10" defaultRowHeight="16" x14ac:dyDescent="0.2"/>
  <cols>
    <col min="1" max="1" width="7.1640625" style="16" customWidth="1"/>
    <col min="2" max="2" width="3.83203125" style="16" customWidth="1"/>
    <col min="3" max="3" width="9.5" style="16" customWidth="1"/>
    <col min="4" max="4" width="11.5" style="16" customWidth="1"/>
    <col min="5" max="16384" width="10.83203125" style="16"/>
  </cols>
  <sheetData>
    <row r="1" spans="1:4" x14ac:dyDescent="0.2">
      <c r="A1" s="16">
        <v>823</v>
      </c>
      <c r="C1" s="16" t="s">
        <v>58</v>
      </c>
      <c r="D1" s="16">
        <v>962</v>
      </c>
    </row>
    <row r="2" spans="1:4" x14ac:dyDescent="0.2">
      <c r="A2" s="16">
        <v>-426</v>
      </c>
      <c r="C2" s="16" t="s">
        <v>59</v>
      </c>
      <c r="D2" s="16">
        <v>-798</v>
      </c>
    </row>
    <row r="3" spans="1:4" x14ac:dyDescent="0.2">
      <c r="A3" s="16">
        <v>-906</v>
      </c>
      <c r="C3" s="16" t="s">
        <v>60</v>
      </c>
      <c r="D3" s="17" t="s">
        <v>61</v>
      </c>
    </row>
    <row r="4" spans="1:4" x14ac:dyDescent="0.2">
      <c r="A4" s="16">
        <v>309</v>
      </c>
      <c r="C4" s="16" t="s">
        <v>62</v>
      </c>
      <c r="D4" s="16">
        <v>17</v>
      </c>
    </row>
    <row r="5" spans="1:4" x14ac:dyDescent="0.2">
      <c r="A5" s="16">
        <v>-290</v>
      </c>
      <c r="C5" s="16" t="s">
        <v>63</v>
      </c>
      <c r="D5" s="16">
        <v>12</v>
      </c>
    </row>
    <row r="6" spans="1:4" x14ac:dyDescent="0.2">
      <c r="A6" s="16">
        <v>925</v>
      </c>
      <c r="C6" s="16" t="s">
        <v>64</v>
      </c>
      <c r="D6" s="16">
        <v>27</v>
      </c>
    </row>
    <row r="7" spans="1:4" x14ac:dyDescent="0.2">
      <c r="A7" s="16">
        <v>859</v>
      </c>
    </row>
    <row r="8" spans="1:4" x14ac:dyDescent="0.2">
      <c r="A8" s="16">
        <v>386</v>
      </c>
    </row>
    <row r="9" spans="1:4" x14ac:dyDescent="0.2">
      <c r="A9" s="16">
        <v>-272</v>
      </c>
    </row>
    <row r="10" spans="1:4" x14ac:dyDescent="0.2">
      <c r="A10" s="16">
        <v>-156</v>
      </c>
    </row>
    <row r="11" spans="1:4" x14ac:dyDescent="0.2">
      <c r="A11" s="16">
        <v>-623</v>
      </c>
    </row>
    <row r="12" spans="1:4" x14ac:dyDescent="0.2">
      <c r="A12" s="16">
        <v>-181</v>
      </c>
    </row>
    <row r="13" spans="1:4" x14ac:dyDescent="0.2">
      <c r="A13" s="16">
        <v>159</v>
      </c>
    </row>
    <row r="14" spans="1:4" x14ac:dyDescent="0.2">
      <c r="A14" s="16">
        <v>-259</v>
      </c>
    </row>
    <row r="15" spans="1:4" x14ac:dyDescent="0.2">
      <c r="A15" s="16">
        <v>-919</v>
      </c>
    </row>
    <row r="16" spans="1:4" x14ac:dyDescent="0.2">
      <c r="A16" s="16">
        <v>935</v>
      </c>
    </row>
    <row r="17" spans="1:1" x14ac:dyDescent="0.2">
      <c r="A17" s="16">
        <v>704</v>
      </c>
    </row>
    <row r="18" spans="1:1" x14ac:dyDescent="0.2">
      <c r="A18" s="16">
        <v>274</v>
      </c>
    </row>
    <row r="19" spans="1:1" x14ac:dyDescent="0.2">
      <c r="A19" s="16">
        <v>-197</v>
      </c>
    </row>
    <row r="20" spans="1:1" x14ac:dyDescent="0.2">
      <c r="A20" s="16">
        <v>-708</v>
      </c>
    </row>
    <row r="21" spans="1:1" x14ac:dyDescent="0.2">
      <c r="A21" s="16">
        <v>431</v>
      </c>
    </row>
    <row r="22" spans="1:1" x14ac:dyDescent="0.2">
      <c r="A22" s="16">
        <v>136</v>
      </c>
    </row>
    <row r="23" spans="1:1" x14ac:dyDescent="0.2">
      <c r="A23" s="16">
        <v>-515</v>
      </c>
    </row>
    <row r="24" spans="1:1" x14ac:dyDescent="0.2">
      <c r="A24" s="16">
        <v>-306</v>
      </c>
    </row>
    <row r="25" spans="1:1" x14ac:dyDescent="0.2">
      <c r="A25" s="16">
        <v>-156</v>
      </c>
    </row>
    <row r="26" spans="1:1" x14ac:dyDescent="0.2">
      <c r="A26" s="16">
        <v>579</v>
      </c>
    </row>
    <row r="27" spans="1:1" x14ac:dyDescent="0.2">
      <c r="A27" s="16">
        <v>471</v>
      </c>
    </row>
    <row r="28" spans="1:1" x14ac:dyDescent="0.2">
      <c r="A28" s="16">
        <v>3</v>
      </c>
    </row>
    <row r="29" spans="1:1" x14ac:dyDescent="0.2">
      <c r="A29" s="16">
        <v>721</v>
      </c>
    </row>
    <row r="30" spans="1:1" x14ac:dyDescent="0.2">
      <c r="A30" s="16">
        <v>405</v>
      </c>
    </row>
    <row r="31" spans="1:1" x14ac:dyDescent="0.2">
      <c r="A31" s="16">
        <v>-676</v>
      </c>
    </row>
    <row r="32" spans="1:1" x14ac:dyDescent="0.2">
      <c r="A32" s="16">
        <v>558</v>
      </c>
    </row>
    <row r="33" spans="1:4" x14ac:dyDescent="0.2">
      <c r="A33" s="16">
        <v>-938</v>
      </c>
    </row>
    <row r="34" spans="1:4" x14ac:dyDescent="0.2">
      <c r="A34" s="16">
        <v>83</v>
      </c>
    </row>
    <row r="35" spans="1:4" x14ac:dyDescent="0.2">
      <c r="A35" s="16">
        <v>771</v>
      </c>
    </row>
    <row r="36" spans="1:4" x14ac:dyDescent="0.2">
      <c r="A36" s="16">
        <v>246</v>
      </c>
    </row>
    <row r="37" spans="1:4" x14ac:dyDescent="0.2">
      <c r="A37" s="16">
        <v>88</v>
      </c>
    </row>
    <row r="38" spans="1:4" x14ac:dyDescent="0.2">
      <c r="A38" s="16">
        <v>239</v>
      </c>
    </row>
    <row r="39" spans="1:4" x14ac:dyDescent="0.2">
      <c r="A39" s="16">
        <v>-188</v>
      </c>
    </row>
    <row r="40" spans="1:4" x14ac:dyDescent="0.2">
      <c r="A40" s="16">
        <v>545</v>
      </c>
    </row>
    <row r="41" spans="1:4" x14ac:dyDescent="0.2">
      <c r="D41" s="16" t="s">
        <v>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Overview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 and Social Sciences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2013-09-08T19:39:35Z</dcterms:created>
  <dcterms:modified xsi:type="dcterms:W3CDTF">2022-07-26T10:48:22Z</dcterms:modified>
</cp:coreProperties>
</file>