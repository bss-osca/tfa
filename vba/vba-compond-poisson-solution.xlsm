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09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228DC18-C9A6-734E-85A1-9A003DE92D64}" xr6:coauthVersionLast="47" xr6:coauthVersionMax="47" xr10:uidLastSave="{00000000-0000-0000-0000-000000000000}"/>
  <bookViews>
    <workbookView xWindow="0" yWindow="500" windowWidth="41220" windowHeight="22720" activeTab="2" xr2:uid="{00000000-000D-0000-FFFF-FFFF00000000}"/>
  </bookViews>
  <sheets>
    <sheet name="Main" sheetId="3" r:id="rId1"/>
    <sheet name="DataLEK51" sheetId="1" r:id="rId2"/>
    <sheet name="DataLEK52" sheetId="2" r:id="rId3"/>
    <sheet name="DataLEK51 (2)" sheetId="4" r:id="rId4"/>
    <sheet name="DataLEK52 (2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0" i="3" l="1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3" i="1"/>
  <c r="J23" i="5"/>
  <c r="K22" i="5"/>
  <c r="K23" i="5" s="1"/>
  <c r="I5" i="5"/>
  <c r="K4" i="5"/>
  <c r="K5" i="5" s="1"/>
  <c r="J4" i="5"/>
  <c r="J5" i="5" s="1"/>
  <c r="I26" i="4"/>
  <c r="J25" i="4"/>
  <c r="J26" i="4" s="1"/>
  <c r="J5" i="4"/>
  <c r="I5" i="4"/>
  <c r="K4" i="4"/>
  <c r="K5" i="4" s="1"/>
  <c r="J4" i="4"/>
  <c r="L4" i="5" l="1"/>
  <c r="L22" i="5"/>
  <c r="L4" i="4"/>
  <c r="K25" i="4"/>
  <c r="K26" i="4" l="1"/>
  <c r="L25" i="4"/>
  <c r="L5" i="4"/>
  <c r="M4" i="4"/>
  <c r="L23" i="5"/>
  <c r="M22" i="5"/>
  <c r="L5" i="5"/>
  <c r="M4" i="5"/>
  <c r="M23" i="5" l="1"/>
  <c r="N22" i="5"/>
  <c r="M5" i="4"/>
  <c r="N4" i="4"/>
  <c r="N4" i="5"/>
  <c r="M5" i="5"/>
  <c r="L26" i="4"/>
  <c r="M25" i="4"/>
  <c r="M26" i="4" l="1"/>
  <c r="N25" i="4"/>
  <c r="O4" i="5"/>
  <c r="N5" i="5"/>
  <c r="N5" i="4"/>
  <c r="O4" i="4"/>
  <c r="N23" i="5"/>
  <c r="O22" i="5"/>
  <c r="O23" i="5" l="1"/>
  <c r="P22" i="5"/>
  <c r="P4" i="5"/>
  <c r="O5" i="5"/>
  <c r="O25" i="4"/>
  <c r="N26" i="4"/>
  <c r="P4" i="4"/>
  <c r="O5" i="4"/>
  <c r="Q4" i="5" l="1"/>
  <c r="P5" i="5"/>
  <c r="Q4" i="4"/>
  <c r="P5" i="4"/>
  <c r="P23" i="5"/>
  <c r="Q22" i="5"/>
  <c r="O26" i="4"/>
  <c r="P25" i="4"/>
  <c r="R4" i="5" l="1"/>
  <c r="Q5" i="5"/>
  <c r="R4" i="4"/>
  <c r="Q5" i="4"/>
  <c r="Q23" i="5"/>
  <c r="R22" i="5"/>
  <c r="Q25" i="4"/>
  <c r="P26" i="4"/>
  <c r="R5" i="4" l="1"/>
  <c r="S4" i="4"/>
  <c r="S4" i="5"/>
  <c r="R5" i="5"/>
  <c r="R25" i="4"/>
  <c r="Q26" i="4"/>
  <c r="R23" i="5"/>
  <c r="S22" i="5"/>
  <c r="S23" i="5" l="1"/>
  <c r="T22" i="5"/>
  <c r="R26" i="4"/>
  <c r="S25" i="4"/>
  <c r="S5" i="5"/>
  <c r="T4" i="5"/>
  <c r="T4" i="4"/>
  <c r="S5" i="4"/>
  <c r="U4" i="4" l="1"/>
  <c r="T5" i="4"/>
  <c r="T23" i="5"/>
  <c r="U22" i="5"/>
  <c r="T5" i="5"/>
  <c r="U4" i="5"/>
  <c r="S26" i="4"/>
  <c r="T25" i="4"/>
  <c r="T26" i="4" l="1"/>
  <c r="T27" i="4" s="1"/>
  <c r="U25" i="4"/>
  <c r="U26" i="4" s="1"/>
  <c r="U5" i="5"/>
  <c r="V4" i="5"/>
  <c r="V4" i="4"/>
  <c r="U5" i="4"/>
  <c r="U23" i="5"/>
  <c r="T24" i="5" s="1"/>
  <c r="V22" i="5"/>
  <c r="V23" i="5" s="1"/>
  <c r="V5" i="4" l="1"/>
  <c r="W4" i="4"/>
  <c r="V5" i="5"/>
  <c r="W4" i="5"/>
  <c r="U27" i="4"/>
  <c r="I27" i="4"/>
  <c r="V26" i="4"/>
  <c r="K27" i="4"/>
  <c r="J27" i="4"/>
  <c r="M27" i="4"/>
  <c r="L27" i="4"/>
  <c r="N27" i="4"/>
  <c r="O27" i="4"/>
  <c r="P27" i="4"/>
  <c r="R27" i="4"/>
  <c r="S27" i="4"/>
  <c r="Q27" i="4"/>
  <c r="R24" i="5"/>
  <c r="S24" i="5"/>
  <c r="V24" i="5"/>
  <c r="J24" i="5"/>
  <c r="K24" i="5"/>
  <c r="W23" i="5"/>
  <c r="M24" i="5"/>
  <c r="L24" i="5"/>
  <c r="N24" i="5"/>
  <c r="O24" i="5"/>
  <c r="Q24" i="5"/>
  <c r="P24" i="5"/>
  <c r="U24" i="5"/>
  <c r="I29" i="4" l="1"/>
  <c r="W5" i="5"/>
  <c r="X4" i="5"/>
  <c r="X4" i="4"/>
  <c r="W5" i="4"/>
  <c r="I29" i="5"/>
  <c r="I32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U34" i="5" s="1"/>
  <c r="V34" i="5" s="1"/>
  <c r="W24" i="5"/>
  <c r="X5" i="4" l="1"/>
  <c r="Y4" i="4"/>
  <c r="X5" i="5"/>
  <c r="Y4" i="5"/>
  <c r="Z4" i="5" l="1"/>
  <c r="Y5" i="5"/>
  <c r="Y5" i="4"/>
  <c r="Z4" i="4"/>
  <c r="AA4" i="4" l="1"/>
  <c r="Z5" i="4"/>
  <c r="AA4" i="5"/>
  <c r="Z5" i="5"/>
  <c r="AB4" i="5" l="1"/>
  <c r="AA5" i="5"/>
  <c r="AB4" i="4"/>
  <c r="AA5" i="4"/>
  <c r="AC4" i="4" l="1"/>
  <c r="AC5" i="4" s="1"/>
  <c r="AB5" i="4"/>
  <c r="AC4" i="5"/>
  <c r="AB5" i="5"/>
  <c r="AD4" i="5" l="1"/>
  <c r="AC5" i="5"/>
  <c r="AD5" i="4"/>
  <c r="I10" i="4" l="1"/>
  <c r="I13" i="4" s="1"/>
  <c r="L6" i="4"/>
  <c r="I6" i="4"/>
  <c r="I7" i="4" s="1"/>
  <c r="J7" i="4" s="1"/>
  <c r="K7" i="4" s="1"/>
  <c r="L7" i="4" s="1"/>
  <c r="J6" i="4"/>
  <c r="K6" i="4"/>
  <c r="AE5" i="4"/>
  <c r="N6" i="4"/>
  <c r="M6" i="4"/>
  <c r="O6" i="4"/>
  <c r="P6" i="4"/>
  <c r="R6" i="4"/>
  <c r="Q6" i="4"/>
  <c r="S6" i="4"/>
  <c r="U6" i="4"/>
  <c r="T6" i="4"/>
  <c r="V6" i="4"/>
  <c r="W6" i="4"/>
  <c r="X6" i="4"/>
  <c r="AC6" i="4"/>
  <c r="AA6" i="4"/>
  <c r="Z6" i="4"/>
  <c r="Y6" i="4"/>
  <c r="AB6" i="4"/>
  <c r="AE4" i="5"/>
  <c r="AD5" i="5"/>
  <c r="M7" i="4" l="1"/>
  <c r="N7" i="4" s="1"/>
  <c r="O7" i="4" s="1"/>
  <c r="P7" i="4" s="1"/>
  <c r="Q7" i="4" s="1"/>
  <c r="R7" i="4" s="1"/>
  <c r="S7" i="4" s="1"/>
  <c r="T7" i="4" s="1"/>
  <c r="U7" i="4" s="1"/>
  <c r="V7" i="4" s="1"/>
  <c r="W7" i="4" s="1"/>
  <c r="X7" i="4" s="1"/>
  <c r="Y7" i="4" s="1"/>
  <c r="Z7" i="4" s="1"/>
  <c r="AA7" i="4" s="1"/>
  <c r="AB7" i="4" s="1"/>
  <c r="AC7" i="4" s="1"/>
  <c r="R15" i="4"/>
  <c r="Q15" i="4"/>
  <c r="Z15" i="4"/>
  <c r="L15" i="4"/>
  <c r="X15" i="4"/>
  <c r="AB15" i="4"/>
  <c r="P15" i="4"/>
  <c r="AA15" i="4"/>
  <c r="O15" i="4"/>
  <c r="N15" i="4"/>
  <c r="M15" i="4"/>
  <c r="V15" i="4"/>
  <c r="Y15" i="4"/>
  <c r="W15" i="4"/>
  <c r="K15" i="4"/>
  <c r="J15" i="4"/>
  <c r="U15" i="4"/>
  <c r="I15" i="4"/>
  <c r="T15" i="4"/>
  <c r="S15" i="4"/>
  <c r="AE5" i="5"/>
  <c r="AF4" i="5"/>
  <c r="AF5" i="5" l="1"/>
  <c r="AG4" i="5"/>
  <c r="AG5" i="5" l="1"/>
  <c r="AH4" i="5"/>
  <c r="AH5" i="5" l="1"/>
  <c r="AI4" i="5"/>
  <c r="AI5" i="5" l="1"/>
  <c r="AJ4" i="5"/>
  <c r="AJ5" i="5" l="1"/>
  <c r="AK4" i="5"/>
  <c r="AL4" i="5" l="1"/>
  <c r="AK5" i="5"/>
  <c r="AM4" i="5" l="1"/>
  <c r="AM5" i="5" s="1"/>
  <c r="AL5" i="5"/>
  <c r="AN5" i="5" l="1"/>
  <c r="AK6" i="5" s="1"/>
  <c r="AI6" i="5" l="1"/>
  <c r="AN6" i="5"/>
  <c r="I10" i="5"/>
  <c r="I13" i="5" s="1"/>
  <c r="J6" i="5"/>
  <c r="K6" i="5"/>
  <c r="I6" i="5"/>
  <c r="I7" i="5" s="1"/>
  <c r="J7" i="5" s="1"/>
  <c r="K7" i="5" s="1"/>
  <c r="L7" i="5" s="1"/>
  <c r="L6" i="5"/>
  <c r="AO5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D6" i="5"/>
  <c r="AC6" i="5"/>
  <c r="AE6" i="5"/>
  <c r="AF6" i="5"/>
  <c r="AG6" i="5"/>
  <c r="AH6" i="5"/>
  <c r="AM6" i="5"/>
  <c r="AJ6" i="5"/>
  <c r="AL6" i="5"/>
  <c r="AG15" i="5" l="1"/>
  <c r="U15" i="5"/>
  <c r="I15" i="5"/>
  <c r="AC15" i="5"/>
  <c r="AF15" i="5"/>
  <c r="T15" i="5"/>
  <c r="O15" i="5"/>
  <c r="AE15" i="5"/>
  <c r="S15" i="5"/>
  <c r="AD15" i="5"/>
  <c r="R15" i="5"/>
  <c r="Q15" i="5"/>
  <c r="P15" i="5"/>
  <c r="AA15" i="5"/>
  <c r="AB15" i="5"/>
  <c r="AL15" i="5"/>
  <c r="Z15" i="5"/>
  <c r="N15" i="5"/>
  <c r="AK15" i="5"/>
  <c r="Y15" i="5"/>
  <c r="M15" i="5"/>
  <c r="AJ15" i="5"/>
  <c r="X15" i="5"/>
  <c r="L15" i="5"/>
  <c r="AI15" i="5"/>
  <c r="W15" i="5"/>
  <c r="K15" i="5"/>
  <c r="AH15" i="5"/>
  <c r="V15" i="5"/>
  <c r="J15" i="5"/>
  <c r="M7" i="5"/>
  <c r="N7" i="5" s="1"/>
  <c r="O7" i="5" s="1"/>
  <c r="P7" i="5" s="1"/>
  <c r="Q7" i="5" s="1"/>
  <c r="R7" i="5" s="1"/>
  <c r="S7" i="5" s="1"/>
  <c r="T7" i="5" s="1"/>
  <c r="U7" i="5" s="1"/>
  <c r="V7" i="5" s="1"/>
  <c r="W7" i="5" s="1"/>
  <c r="X7" i="5" s="1"/>
  <c r="Y7" i="5" s="1"/>
  <c r="Z7" i="5" s="1"/>
  <c r="AA7" i="5" s="1"/>
  <c r="AB7" i="5" s="1"/>
  <c r="AC7" i="5" s="1"/>
  <c r="AD7" i="5" s="1"/>
  <c r="AE7" i="5" s="1"/>
  <c r="AF7" i="5" s="1"/>
  <c r="AG7" i="5" s="1"/>
  <c r="AH7" i="5" s="1"/>
  <c r="AI7" i="5" s="1"/>
  <c r="AJ7" i="5" s="1"/>
  <c r="AK7" i="5" s="1"/>
  <c r="AL7" i="5" s="1"/>
  <c r="AM7" i="5" s="1"/>
  <c r="AN7" i="5" s="1"/>
</calcChain>
</file>

<file path=xl/sharedStrings.xml><?xml version="1.0" encoding="utf-8"?>
<sst xmlns="http://schemas.openxmlformats.org/spreadsheetml/2006/main" count="64" uniqueCount="37">
  <si>
    <t>Days beween</t>
  </si>
  <si>
    <t>Arrival Date</t>
  </si>
  <si>
    <t>Order size</t>
  </si>
  <si>
    <t>&gt;20</t>
  </si>
  <si>
    <t>Histogram over time intervals</t>
  </si>
  <si>
    <t>Demand history</t>
  </si>
  <si>
    <t>Average time interval ("&gt;20" set arbitrarily to 25)</t>
  </si>
  <si>
    <t>days</t>
  </si>
  <si>
    <t>Arrival intensity</t>
  </si>
  <si>
    <t>per day</t>
  </si>
  <si>
    <t>Histogram over customer orders</t>
  </si>
  <si>
    <t>total</t>
  </si>
  <si>
    <t>frq</t>
  </si>
  <si>
    <t>&gt;30</t>
  </si>
  <si>
    <t>Average order size</t>
  </si>
  <si>
    <t>Frequencies are declining so try to fit to geometric distribution</t>
  </si>
  <si>
    <t>beta</t>
  </si>
  <si>
    <t>frq (Ax 5.18)</t>
  </si>
  <si>
    <t xml:space="preserve"> Average time interval ("&gt;30" arbitrarily set to 40)</t>
  </si>
  <si>
    <t>Q</t>
  </si>
  <si>
    <t>lead time</t>
  </si>
  <si>
    <t>Av order size</t>
  </si>
  <si>
    <t>OK fit?!</t>
  </si>
  <si>
    <t>lead-time</t>
  </si>
  <si>
    <t>Req Fill rate</t>
  </si>
  <si>
    <t>Inventory control policy (R,nQ)</t>
  </si>
  <si>
    <t>Date</t>
  </si>
  <si>
    <t>freq</t>
  </si>
  <si>
    <t>lambda</t>
  </si>
  <si>
    <t>acc freq (thory)</t>
  </si>
  <si>
    <t>acc frq</t>
  </si>
  <si>
    <t xml:space="preserve">OK fit?! </t>
  </si>
  <si>
    <t>acc freq</t>
  </si>
  <si>
    <t>acc freq (theory)</t>
  </si>
  <si>
    <t>OK fit!?</t>
  </si>
  <si>
    <t>Day</t>
  </si>
  <si>
    <t>0-1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</si>
</sst>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;@"/>
  </numFmts>
  <fonts count="3" x14ac:knownFonts="1"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14" fontId="0" fillId="0" borderId="0" xfId="0" applyNumberFormat="1"/>
    <xf numFmtId="2" fontId="0" fillId="0" borderId="0" xfId="0" applyNumberFormat="1"/>
    <xf numFmtId="0" fontId="1" fillId="2" borderId="1" xfId="1" applyAlignment="1">
      <alignment horizontal="center"/>
    </xf>
    <xf numFmtId="0" fontId="1" fillId="2" borderId="1" xfId="1" applyNumberFormat="1" applyAlignment="1">
      <alignment horizontal="center"/>
    </xf>
    <xf numFmtId="164" fontId="1" fillId="2" borderId="1" xfId="1" applyNumberFormat="1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  <xf numFmtId="16" fontId="0" fillId="0" borderId="0" xfId="0" applyNumberFormat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'DataLEK51 (2)'!$I$4:$AD$4</c:f>
              <c:strCach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&gt;20</c:v>
                </c:pt>
              </c:strCache>
            </c:strRef>
          </c:cat>
          <c:val>
            <c:numRef>
              <c:f>'DataLEK51 (2)'!$I$7:$AD$7</c:f>
              <c:numCache>
                <c:formatCode>General</c:formatCode>
                <c:ptCount val="22"/>
                <c:pt idx="0">
                  <c:v>8.4905660377358486E-2</c:v>
                </c:pt>
                <c:pt idx="1">
                  <c:v>0.24056603773584906</c:v>
                </c:pt>
                <c:pt idx="2">
                  <c:v>0.34433962264150941</c:v>
                </c:pt>
                <c:pt idx="3">
                  <c:v>0.48113207547169812</c:v>
                </c:pt>
                <c:pt idx="4">
                  <c:v>0.56603773584905659</c:v>
                </c:pt>
                <c:pt idx="5">
                  <c:v>0.64622641509433965</c:v>
                </c:pt>
                <c:pt idx="6">
                  <c:v>0.71226415094339623</c:v>
                </c:pt>
                <c:pt idx="7">
                  <c:v>0.76415094339622647</c:v>
                </c:pt>
                <c:pt idx="8">
                  <c:v>0.79716981132075482</c:v>
                </c:pt>
                <c:pt idx="9">
                  <c:v>0.84433962264150952</c:v>
                </c:pt>
                <c:pt idx="10">
                  <c:v>0.87735849056603787</c:v>
                </c:pt>
                <c:pt idx="11">
                  <c:v>0.9056603773584907</c:v>
                </c:pt>
                <c:pt idx="12">
                  <c:v>0.92924528301886811</c:v>
                </c:pt>
                <c:pt idx="13">
                  <c:v>0.93867924528301905</c:v>
                </c:pt>
                <c:pt idx="14">
                  <c:v>0.96226415094339646</c:v>
                </c:pt>
                <c:pt idx="15">
                  <c:v>0.9716981132075474</c:v>
                </c:pt>
                <c:pt idx="16">
                  <c:v>0.97641509433962292</c:v>
                </c:pt>
                <c:pt idx="17">
                  <c:v>0.97641509433962292</c:v>
                </c:pt>
                <c:pt idx="18">
                  <c:v>0.98113207547169845</c:v>
                </c:pt>
                <c:pt idx="19">
                  <c:v>0.98584905660377398</c:v>
                </c:pt>
                <c:pt idx="20">
                  <c:v>0.9905660377358495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4-A341-8FFD-F5C1E31406A3}"/>
            </c:ext>
          </c:extLst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'DataLEK51 (2)'!$I$15:$AB$15</c:f>
              <c:numCache>
                <c:formatCode>General</c:formatCode>
                <c:ptCount val="20"/>
                <c:pt idx="0">
                  <c:v>0.17928296445939884</c:v>
                </c:pt>
                <c:pt idx="1">
                  <c:v>0.3264235475734476</c:v>
                </c:pt>
                <c:pt idx="2">
                  <c:v>0.44718433075452513</c:v>
                </c:pt>
                <c:pt idx="3">
                  <c:v>0.54629476273646038</c:v>
                </c:pt>
                <c:pt idx="4">
                  <c:v>0.62763638266382271</c:v>
                </c:pt>
                <c:pt idx="5">
                  <c:v>0.69439483583667772</c:v>
                </c:pt>
                <c:pt idx="6">
                  <c:v>0.74918463562197934</c:v>
                </c:pt>
                <c:pt idx="7">
                  <c:v>0.79415155767963519</c:v>
                </c:pt>
                <c:pt idx="8">
                  <c:v>0.83105667664817973</c:v>
                </c:pt>
                <c:pt idx="9">
                  <c:v>0.86134533648431688</c:v>
                </c:pt>
                <c:pt idx="10">
                  <c:v>0.886203755595529</c:v>
                </c:pt>
                <c:pt idx="11">
                  <c:v>0.90660548363670879</c:v>
                </c:pt>
                <c:pt idx="12">
                  <c:v>0.92334952939457149</c:v>
                </c:pt>
                <c:pt idx="13">
                  <c:v>0.93709165299192076</c:v>
                </c:pt>
                <c:pt idx="14">
                  <c:v>0.94837004793276969</c:v>
                </c:pt>
                <c:pt idx="15">
                  <c:v>0.95762641879427945</c:v>
                </c:pt>
                <c:pt idx="16">
                  <c:v>0.96522328004760205</c:v>
                </c:pt>
                <c:pt idx="17">
                  <c:v>0.97145815349484232</c:v>
                </c:pt>
                <c:pt idx="18">
                  <c:v>0.97657522034743216</c:v>
                </c:pt>
                <c:pt idx="19">
                  <c:v>0.98077488428535264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4-A341-8FFD-F5C1E3140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885424"/>
        <c:axId val="1170867488"/>
      </c:barChart>
      <c:catAx>
        <c:axId val="117088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170867488"/>
        <c:crosses val="autoZero"/>
        <c:auto val="1"/>
        <c:lblAlgn val="ctr"/>
        <c:lblOffset val="100"/>
        <c:noMultiLvlLbl val="0"/>
      </c:catAx>
      <c:valAx>
        <c:axId val="117086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17088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698500</xdr:colOff>
          <xdr:row>2</xdr:row>
          <xdr:rowOff>25400</xdr:rowOff>
        </xdr:from>
        <xdr:to>
          <xdr:col>7</xdr:col>
          <xdr:colOff>571500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406400</xdr:colOff>
      <xdr:row>23</xdr:row>
      <xdr:rowOff>57150</xdr:rowOff>
    </xdr:from>
    <xdr:to>
      <xdr:col>20</xdr:col>
      <xdr:colOff>266700</xdr:colOff>
      <xdr:row>37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1DAB41-044A-9947-8B82-428250AAE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38AF8-5FF6-0B4E-8F79-9FA304757DC5}">
  <sheetPr codeName="SheetMain"/>
  <dimension ref="A1:H150"/>
  <sheetViews>
    <sheetView topLeftCell="A108" workbookViewId="0">
      <selection activeCell="D150" sqref="D150"/>
    </sheetView>
  </sheetViews>
  <sheetFormatPr baseColWidth="10" defaultRowHeight="15" x14ac:dyDescent="0.2"/>
  <cols>
    <col min="3" max="3" width="12.6640625" customWidth="1"/>
  </cols>
  <sheetData>
    <row r="1" spans="1:8" ht="16" x14ac:dyDescent="0.2">
      <c r="A1" s="5" t="s">
        <v>26</v>
      </c>
      <c r="B1" s="4" t="s">
        <v>35</v>
      </c>
      <c r="C1" s="3" t="s">
        <v>0</v>
      </c>
      <c r="D1" s="3" t="s">
        <v>2</v>
      </c>
    </row>
    <row r="2" spans="1:8" ht="16" x14ac:dyDescent="0.2">
      <c r="A2" s="5">
        <v>42370</v>
      </c>
      <c r="B2" s="4">
        <v>1</v>
      </c>
      <c r="C2" s="3"/>
      <c r="D2" s="3">
        <v>1</v>
      </c>
    </row>
    <row r="3" spans="1:8" ht="16" x14ac:dyDescent="0.2">
      <c r="A3" s="5">
        <v>42376</v>
      </c>
      <c r="B3" s="4">
        <f>_xlfn.DAYS(A3,$A$2)+1</f>
        <v>7</v>
      </c>
      <c r="C3" s="3">
        <v>6</v>
      </c>
      <c r="D3" s="3">
        <v>10</v>
      </c>
    </row>
    <row r="4" spans="1:8" ht="16" x14ac:dyDescent="0.2">
      <c r="A4" s="5">
        <v>42387</v>
      </c>
      <c r="B4" s="4">
        <f t="shared" ref="B4:B67" si="0">_xlfn.DAYS(A4,$A$2)+1</f>
        <v>18</v>
      </c>
      <c r="C4" s="3">
        <v>11</v>
      </c>
      <c r="D4" s="3">
        <v>4</v>
      </c>
    </row>
    <row r="5" spans="1:8" ht="16" x14ac:dyDescent="0.2">
      <c r="A5" s="5">
        <v>42387</v>
      </c>
      <c r="B5" s="4">
        <f t="shared" si="0"/>
        <v>18</v>
      </c>
      <c r="C5" s="3">
        <v>0</v>
      </c>
      <c r="D5" s="3">
        <v>1</v>
      </c>
    </row>
    <row r="6" spans="1:8" ht="16" x14ac:dyDescent="0.2">
      <c r="A6" s="5">
        <v>42388</v>
      </c>
      <c r="B6" s="4">
        <f t="shared" si="0"/>
        <v>19</v>
      </c>
      <c r="C6" s="3">
        <v>1</v>
      </c>
      <c r="D6" s="3">
        <v>1</v>
      </c>
    </row>
    <row r="7" spans="1:8" ht="16" x14ac:dyDescent="0.2">
      <c r="A7" s="5">
        <v>42394</v>
      </c>
      <c r="B7" s="4">
        <f t="shared" si="0"/>
        <v>25</v>
      </c>
      <c r="C7" s="3">
        <v>6</v>
      </c>
      <c r="D7" s="3">
        <v>7</v>
      </c>
    </row>
    <row r="8" spans="1:8" ht="16" x14ac:dyDescent="0.2">
      <c r="A8" s="5">
        <v>42397</v>
      </c>
      <c r="B8" s="4">
        <f t="shared" si="0"/>
        <v>28</v>
      </c>
      <c r="C8" s="3">
        <v>3</v>
      </c>
      <c r="D8" s="3">
        <v>7</v>
      </c>
    </row>
    <row r="9" spans="1:8" ht="16" x14ac:dyDescent="0.2">
      <c r="A9" s="5">
        <v>42409</v>
      </c>
      <c r="B9" s="4">
        <f t="shared" si="0"/>
        <v>40</v>
      </c>
      <c r="C9" s="3">
        <v>12</v>
      </c>
      <c r="D9" s="3">
        <v>4</v>
      </c>
    </row>
    <row r="10" spans="1:8" ht="16" x14ac:dyDescent="0.2">
      <c r="A10" s="5">
        <v>42418</v>
      </c>
      <c r="B10" s="4">
        <f t="shared" si="0"/>
        <v>49</v>
      </c>
      <c r="C10" s="3">
        <v>9</v>
      </c>
      <c r="D10" s="3">
        <v>4</v>
      </c>
    </row>
    <row r="11" spans="1:8" ht="16" x14ac:dyDescent="0.2">
      <c r="A11" s="5">
        <v>42419</v>
      </c>
      <c r="B11" s="4">
        <f t="shared" si="0"/>
        <v>50</v>
      </c>
      <c r="C11" s="3">
        <v>1</v>
      </c>
      <c r="D11" s="3">
        <v>3</v>
      </c>
    </row>
    <row r="12" spans="1:8" ht="16" x14ac:dyDescent="0.2">
      <c r="A12" s="5">
        <v>42420</v>
      </c>
      <c r="B12" s="4">
        <f t="shared" si="0"/>
        <v>51</v>
      </c>
      <c r="C12" s="3">
        <v>1</v>
      </c>
      <c r="D12" s="3">
        <v>3</v>
      </c>
    </row>
    <row r="13" spans="1:8" ht="16" x14ac:dyDescent="0.2">
      <c r="A13" s="5">
        <v>42431</v>
      </c>
      <c r="B13" s="4">
        <f t="shared" si="0"/>
        <v>62</v>
      </c>
      <c r="C13" s="3">
        <v>11</v>
      </c>
      <c r="D13" s="3">
        <v>1</v>
      </c>
      <c r="F13" s="6">
        <v>1</v>
      </c>
      <c r="H13" s="7">
        <v>0</v>
      </c>
    </row>
    <row r="14" spans="1:8" ht="16" x14ac:dyDescent="0.2">
      <c r="A14" s="5">
        <v>42449</v>
      </c>
      <c r="B14" s="4">
        <f t="shared" si="0"/>
        <v>80</v>
      </c>
      <c r="C14" s="3">
        <v>18</v>
      </c>
      <c r="D14" s="3">
        <v>2</v>
      </c>
      <c r="F14" s="6">
        <v>2</v>
      </c>
      <c r="H14" t="s">
        <v>36</v>
      </c>
    </row>
    <row r="15" spans="1:8" ht="16" x14ac:dyDescent="0.2">
      <c r="A15" s="5">
        <v>42466</v>
      </c>
      <c r="B15" s="4">
        <f t="shared" si="0"/>
        <v>97</v>
      </c>
      <c r="C15" s="3">
        <v>17</v>
      </c>
      <c r="D15" s="3">
        <v>3</v>
      </c>
      <c r="F15" s="6">
        <v>3</v>
      </c>
      <c r="H15" s="8">
        <v>44198</v>
      </c>
    </row>
    <row r="16" spans="1:8" ht="16" x14ac:dyDescent="0.2">
      <c r="A16" s="5">
        <v>42471</v>
      </c>
      <c r="B16" s="4">
        <f t="shared" si="0"/>
        <v>102</v>
      </c>
      <c r="C16" s="3">
        <v>5</v>
      </c>
      <c r="D16" s="3">
        <v>3</v>
      </c>
      <c r="F16" s="7">
        <v>0</v>
      </c>
      <c r="H16" s="8">
        <v>44230</v>
      </c>
    </row>
    <row r="17" spans="1:8" ht="16" x14ac:dyDescent="0.2">
      <c r="A17" s="5">
        <v>42483</v>
      </c>
      <c r="B17" s="4">
        <f t="shared" si="0"/>
        <v>114</v>
      </c>
      <c r="C17" s="3">
        <v>12</v>
      </c>
      <c r="D17" s="3">
        <v>4</v>
      </c>
      <c r="F17" s="7">
        <v>5</v>
      </c>
      <c r="H17" s="8">
        <v>44259</v>
      </c>
    </row>
    <row r="18" spans="1:8" ht="16" x14ac:dyDescent="0.2">
      <c r="A18" s="5">
        <v>42509</v>
      </c>
      <c r="B18" s="4">
        <f t="shared" si="0"/>
        <v>140</v>
      </c>
      <c r="C18" s="3">
        <v>26</v>
      </c>
      <c r="D18" s="3">
        <v>2</v>
      </c>
    </row>
    <row r="19" spans="1:8" ht="16" x14ac:dyDescent="0.2">
      <c r="A19" s="5">
        <v>42512</v>
      </c>
      <c r="B19" s="4">
        <f t="shared" si="0"/>
        <v>143</v>
      </c>
      <c r="C19" s="3">
        <v>3</v>
      </c>
      <c r="D19" s="3">
        <v>3</v>
      </c>
    </row>
    <row r="20" spans="1:8" ht="16" x14ac:dyDescent="0.2">
      <c r="A20" s="5">
        <v>42521</v>
      </c>
      <c r="B20" s="4">
        <f t="shared" si="0"/>
        <v>152</v>
      </c>
      <c r="C20" s="3">
        <v>9</v>
      </c>
      <c r="D20" s="3">
        <v>1</v>
      </c>
    </row>
    <row r="21" spans="1:8" ht="16" x14ac:dyDescent="0.2">
      <c r="A21" s="5">
        <v>42522</v>
      </c>
      <c r="B21" s="4">
        <f t="shared" si="0"/>
        <v>153</v>
      </c>
      <c r="C21" s="3">
        <v>1</v>
      </c>
      <c r="D21" s="3">
        <v>9</v>
      </c>
    </row>
    <row r="22" spans="1:8" ht="16" x14ac:dyDescent="0.2">
      <c r="A22" s="5">
        <v>42527</v>
      </c>
      <c r="B22" s="4">
        <f t="shared" si="0"/>
        <v>158</v>
      </c>
      <c r="C22" s="3">
        <v>5</v>
      </c>
      <c r="D22" s="3">
        <v>1</v>
      </c>
    </row>
    <row r="23" spans="1:8" ht="16" x14ac:dyDescent="0.2">
      <c r="A23" s="5">
        <v>42530</v>
      </c>
      <c r="B23" s="4">
        <f t="shared" si="0"/>
        <v>161</v>
      </c>
      <c r="C23" s="3">
        <v>3</v>
      </c>
      <c r="D23" s="3">
        <v>5</v>
      </c>
    </row>
    <row r="24" spans="1:8" ht="16" x14ac:dyDescent="0.2">
      <c r="A24" s="5">
        <v>42532</v>
      </c>
      <c r="B24" s="4">
        <f t="shared" si="0"/>
        <v>163</v>
      </c>
      <c r="C24" s="3">
        <v>2</v>
      </c>
      <c r="D24" s="3">
        <v>2</v>
      </c>
    </row>
    <row r="25" spans="1:8" ht="16" x14ac:dyDescent="0.2">
      <c r="A25" s="5">
        <v>42544</v>
      </c>
      <c r="B25" s="4">
        <f t="shared" si="0"/>
        <v>175</v>
      </c>
      <c r="C25" s="3">
        <v>12</v>
      </c>
      <c r="D25" s="3">
        <v>7</v>
      </c>
    </row>
    <row r="26" spans="1:8" ht="16" x14ac:dyDescent="0.2">
      <c r="A26" s="5">
        <v>42547</v>
      </c>
      <c r="B26" s="4">
        <f t="shared" si="0"/>
        <v>178</v>
      </c>
      <c r="C26" s="3">
        <v>3</v>
      </c>
      <c r="D26" s="3">
        <v>1</v>
      </c>
    </row>
    <row r="27" spans="1:8" ht="16" x14ac:dyDescent="0.2">
      <c r="A27" s="5">
        <v>42549</v>
      </c>
      <c r="B27" s="4">
        <f t="shared" si="0"/>
        <v>180</v>
      </c>
      <c r="C27" s="3">
        <v>2</v>
      </c>
      <c r="D27" s="3">
        <v>5</v>
      </c>
    </row>
    <row r="28" spans="1:8" ht="16" x14ac:dyDescent="0.2">
      <c r="A28" s="5">
        <v>42550</v>
      </c>
      <c r="B28" s="4">
        <f t="shared" si="0"/>
        <v>181</v>
      </c>
      <c r="C28" s="3">
        <v>1</v>
      </c>
      <c r="D28" s="3">
        <v>2</v>
      </c>
    </row>
    <row r="29" spans="1:8" ht="16" x14ac:dyDescent="0.2">
      <c r="A29" s="5">
        <v>42556</v>
      </c>
      <c r="B29" s="4">
        <f t="shared" si="0"/>
        <v>187</v>
      </c>
      <c r="C29" s="3">
        <v>6</v>
      </c>
      <c r="D29" s="3">
        <v>7</v>
      </c>
    </row>
    <row r="30" spans="1:8" ht="16" x14ac:dyDescent="0.2">
      <c r="A30" s="5">
        <v>42559</v>
      </c>
      <c r="B30" s="4">
        <f t="shared" si="0"/>
        <v>190</v>
      </c>
      <c r="C30" s="3">
        <v>3</v>
      </c>
      <c r="D30" s="3">
        <v>2</v>
      </c>
    </row>
    <row r="31" spans="1:8" ht="16" x14ac:dyDescent="0.2">
      <c r="A31" s="5">
        <v>42560</v>
      </c>
      <c r="B31" s="4">
        <f t="shared" si="0"/>
        <v>191</v>
      </c>
      <c r="C31" s="3">
        <v>1</v>
      </c>
      <c r="D31" s="3">
        <v>1</v>
      </c>
    </row>
    <row r="32" spans="1:8" ht="16" x14ac:dyDescent="0.2">
      <c r="A32" s="5">
        <v>42576</v>
      </c>
      <c r="B32" s="4">
        <f t="shared" si="0"/>
        <v>207</v>
      </c>
      <c r="C32" s="3">
        <v>16</v>
      </c>
      <c r="D32" s="3">
        <v>1</v>
      </c>
    </row>
    <row r="33" spans="1:4" ht="16" x14ac:dyDescent="0.2">
      <c r="A33" s="5">
        <v>42584</v>
      </c>
      <c r="B33" s="4">
        <f t="shared" si="0"/>
        <v>215</v>
      </c>
      <c r="C33" s="3">
        <v>8</v>
      </c>
      <c r="D33" s="3">
        <v>3</v>
      </c>
    </row>
    <row r="34" spans="1:4" ht="16" x14ac:dyDescent="0.2">
      <c r="A34" s="5">
        <v>42603</v>
      </c>
      <c r="B34" s="4">
        <f t="shared" si="0"/>
        <v>234</v>
      </c>
      <c r="C34" s="3">
        <v>19</v>
      </c>
      <c r="D34" s="3">
        <v>1</v>
      </c>
    </row>
    <row r="35" spans="1:4" ht="16" x14ac:dyDescent="0.2">
      <c r="A35" s="5">
        <v>42605</v>
      </c>
      <c r="B35" s="4">
        <f t="shared" si="0"/>
        <v>236</v>
      </c>
      <c r="C35" s="3">
        <v>2</v>
      </c>
      <c r="D35" s="3">
        <v>6</v>
      </c>
    </row>
    <row r="36" spans="1:4" ht="16" x14ac:dyDescent="0.2">
      <c r="A36" s="5">
        <v>42610</v>
      </c>
      <c r="B36" s="4">
        <f t="shared" si="0"/>
        <v>241</v>
      </c>
      <c r="C36" s="3">
        <v>5</v>
      </c>
      <c r="D36" s="3">
        <v>1</v>
      </c>
    </row>
    <row r="37" spans="1:4" ht="16" x14ac:dyDescent="0.2">
      <c r="A37" s="5">
        <v>42613</v>
      </c>
      <c r="B37" s="4">
        <f t="shared" si="0"/>
        <v>244</v>
      </c>
      <c r="C37" s="3">
        <v>3</v>
      </c>
      <c r="D37" s="3">
        <v>1</v>
      </c>
    </row>
    <row r="38" spans="1:4" ht="16" x14ac:dyDescent="0.2">
      <c r="A38" s="5">
        <v>42622</v>
      </c>
      <c r="B38" s="4">
        <f t="shared" si="0"/>
        <v>253</v>
      </c>
      <c r="C38" s="3">
        <v>9</v>
      </c>
      <c r="D38" s="3">
        <v>4</v>
      </c>
    </row>
    <row r="39" spans="1:4" ht="16" x14ac:dyDescent="0.2">
      <c r="A39" s="5">
        <v>42639</v>
      </c>
      <c r="B39" s="4">
        <f t="shared" si="0"/>
        <v>270</v>
      </c>
      <c r="C39" s="3">
        <v>17</v>
      </c>
      <c r="D39" s="3">
        <v>3</v>
      </c>
    </row>
    <row r="40" spans="1:4" ht="16" x14ac:dyDescent="0.2">
      <c r="A40" s="5">
        <v>42645</v>
      </c>
      <c r="B40" s="4">
        <f t="shared" si="0"/>
        <v>276</v>
      </c>
      <c r="C40" s="3">
        <v>6</v>
      </c>
      <c r="D40" s="3">
        <v>1</v>
      </c>
    </row>
    <row r="41" spans="1:4" ht="16" x14ac:dyDescent="0.2">
      <c r="A41" s="5">
        <v>42649</v>
      </c>
      <c r="B41" s="4">
        <f t="shared" si="0"/>
        <v>280</v>
      </c>
      <c r="C41" s="3">
        <v>4</v>
      </c>
      <c r="D41" s="3">
        <v>1</v>
      </c>
    </row>
    <row r="42" spans="1:4" ht="16" x14ac:dyDescent="0.2">
      <c r="A42" s="5">
        <v>42655</v>
      </c>
      <c r="B42" s="4">
        <f t="shared" si="0"/>
        <v>286</v>
      </c>
      <c r="C42" s="3">
        <v>6</v>
      </c>
      <c r="D42" s="3">
        <v>3</v>
      </c>
    </row>
    <row r="43" spans="1:4" ht="16" x14ac:dyDescent="0.2">
      <c r="A43" s="5">
        <v>42671</v>
      </c>
      <c r="B43" s="4">
        <f t="shared" si="0"/>
        <v>302</v>
      </c>
      <c r="C43" s="3">
        <v>16</v>
      </c>
      <c r="D43" s="3">
        <v>3</v>
      </c>
    </row>
    <row r="44" spans="1:4" ht="16" x14ac:dyDescent="0.2">
      <c r="A44" s="5">
        <v>42673</v>
      </c>
      <c r="B44" s="4">
        <f t="shared" si="0"/>
        <v>304</v>
      </c>
      <c r="C44" s="3">
        <v>2</v>
      </c>
      <c r="D44" s="3">
        <v>1</v>
      </c>
    </row>
    <row r="45" spans="1:4" ht="16" x14ac:dyDescent="0.2">
      <c r="A45" s="5">
        <v>42680</v>
      </c>
      <c r="B45" s="4">
        <f t="shared" si="0"/>
        <v>311</v>
      </c>
      <c r="C45" s="3">
        <v>7</v>
      </c>
      <c r="D45" s="3">
        <v>2</v>
      </c>
    </row>
    <row r="46" spans="1:4" ht="16" x14ac:dyDescent="0.2">
      <c r="A46" s="5">
        <v>42680</v>
      </c>
      <c r="B46" s="4">
        <f t="shared" si="0"/>
        <v>311</v>
      </c>
      <c r="C46" s="3">
        <v>0</v>
      </c>
      <c r="D46" s="3">
        <v>4</v>
      </c>
    </row>
    <row r="47" spans="1:4" ht="16" x14ac:dyDescent="0.2">
      <c r="A47" s="5">
        <v>42684</v>
      </c>
      <c r="B47" s="4">
        <f t="shared" si="0"/>
        <v>315</v>
      </c>
      <c r="C47" s="3">
        <v>4</v>
      </c>
      <c r="D47" s="3">
        <v>1</v>
      </c>
    </row>
    <row r="48" spans="1:4" ht="16" x14ac:dyDescent="0.2">
      <c r="A48" s="5">
        <v>42687</v>
      </c>
      <c r="B48" s="4">
        <f t="shared" si="0"/>
        <v>318</v>
      </c>
      <c r="C48" s="3">
        <v>3</v>
      </c>
      <c r="D48" s="3">
        <v>3</v>
      </c>
    </row>
    <row r="49" spans="1:4" ht="16" x14ac:dyDescent="0.2">
      <c r="A49" s="5">
        <v>42701</v>
      </c>
      <c r="B49" s="4">
        <f t="shared" si="0"/>
        <v>332</v>
      </c>
      <c r="C49" s="3">
        <v>14</v>
      </c>
      <c r="D49" s="3">
        <v>2</v>
      </c>
    </row>
    <row r="50" spans="1:4" ht="16" x14ac:dyDescent="0.2">
      <c r="A50" s="5">
        <v>42701</v>
      </c>
      <c r="B50" s="4">
        <f t="shared" si="0"/>
        <v>332</v>
      </c>
      <c r="C50" s="3">
        <v>0</v>
      </c>
      <c r="D50" s="3">
        <v>1</v>
      </c>
    </row>
    <row r="51" spans="1:4" ht="16" x14ac:dyDescent="0.2">
      <c r="A51" s="5">
        <v>42701</v>
      </c>
      <c r="B51" s="4">
        <f t="shared" si="0"/>
        <v>332</v>
      </c>
      <c r="C51" s="3">
        <v>0</v>
      </c>
      <c r="D51" s="3">
        <v>1</v>
      </c>
    </row>
    <row r="52" spans="1:4" ht="16" x14ac:dyDescent="0.2">
      <c r="A52" s="5">
        <v>42715</v>
      </c>
      <c r="B52" s="4">
        <f t="shared" si="0"/>
        <v>346</v>
      </c>
      <c r="C52" s="3">
        <v>14</v>
      </c>
      <c r="D52" s="3">
        <v>13</v>
      </c>
    </row>
    <row r="53" spans="1:4" ht="16" x14ac:dyDescent="0.2">
      <c r="A53" s="5">
        <v>42720</v>
      </c>
      <c r="B53" s="4">
        <f t="shared" si="0"/>
        <v>351</v>
      </c>
      <c r="C53" s="3">
        <v>5</v>
      </c>
      <c r="D53" s="3">
        <v>5</v>
      </c>
    </row>
    <row r="54" spans="1:4" ht="16" x14ac:dyDescent="0.2">
      <c r="A54" s="5">
        <v>42725</v>
      </c>
      <c r="B54" s="4">
        <f t="shared" si="0"/>
        <v>356</v>
      </c>
      <c r="C54" s="3">
        <v>5</v>
      </c>
      <c r="D54" s="3">
        <v>1</v>
      </c>
    </row>
    <row r="55" spans="1:4" ht="16" x14ac:dyDescent="0.2">
      <c r="A55" s="5">
        <v>42731</v>
      </c>
      <c r="B55" s="4">
        <f t="shared" si="0"/>
        <v>362</v>
      </c>
      <c r="C55" s="3">
        <v>6</v>
      </c>
      <c r="D55" s="3">
        <v>2</v>
      </c>
    </row>
    <row r="56" spans="1:4" ht="16" x14ac:dyDescent="0.2">
      <c r="A56" s="5">
        <v>42739</v>
      </c>
      <c r="B56" s="4">
        <f t="shared" si="0"/>
        <v>370</v>
      </c>
      <c r="C56" s="3">
        <v>8</v>
      </c>
      <c r="D56" s="3">
        <v>1</v>
      </c>
    </row>
    <row r="57" spans="1:4" ht="16" x14ac:dyDescent="0.2">
      <c r="A57" s="5">
        <v>42742</v>
      </c>
      <c r="B57" s="4">
        <f t="shared" si="0"/>
        <v>373</v>
      </c>
      <c r="C57" s="3">
        <v>3</v>
      </c>
      <c r="D57" s="3">
        <v>2</v>
      </c>
    </row>
    <row r="58" spans="1:4" ht="16" x14ac:dyDescent="0.2">
      <c r="A58" s="5">
        <v>42769</v>
      </c>
      <c r="B58" s="4">
        <f t="shared" si="0"/>
        <v>400</v>
      </c>
      <c r="C58" s="3">
        <v>27</v>
      </c>
      <c r="D58" s="3">
        <v>1</v>
      </c>
    </row>
    <row r="59" spans="1:4" ht="16" x14ac:dyDescent="0.2">
      <c r="A59" s="5">
        <v>42773</v>
      </c>
      <c r="B59" s="4">
        <f t="shared" si="0"/>
        <v>404</v>
      </c>
      <c r="C59" s="3">
        <v>4</v>
      </c>
      <c r="D59" s="3">
        <v>10</v>
      </c>
    </row>
    <row r="60" spans="1:4" ht="16" x14ac:dyDescent="0.2">
      <c r="A60" s="5">
        <v>42775</v>
      </c>
      <c r="B60" s="4">
        <f t="shared" si="0"/>
        <v>406</v>
      </c>
      <c r="C60" s="3">
        <v>2</v>
      </c>
      <c r="D60" s="3">
        <v>3</v>
      </c>
    </row>
    <row r="61" spans="1:4" ht="16" x14ac:dyDescent="0.2">
      <c r="A61" s="5">
        <v>42781</v>
      </c>
      <c r="B61" s="4">
        <f t="shared" si="0"/>
        <v>412</v>
      </c>
      <c r="C61" s="3">
        <v>6</v>
      </c>
      <c r="D61" s="3">
        <v>9</v>
      </c>
    </row>
    <row r="62" spans="1:4" ht="16" x14ac:dyDescent="0.2">
      <c r="A62" s="5">
        <v>42797</v>
      </c>
      <c r="B62" s="4">
        <f t="shared" si="0"/>
        <v>428</v>
      </c>
      <c r="C62" s="3">
        <v>16</v>
      </c>
      <c r="D62" s="3">
        <v>1</v>
      </c>
    </row>
    <row r="63" spans="1:4" ht="16" x14ac:dyDescent="0.2">
      <c r="A63" s="5">
        <v>42803</v>
      </c>
      <c r="B63" s="4">
        <f t="shared" si="0"/>
        <v>434</v>
      </c>
      <c r="C63" s="3">
        <v>6</v>
      </c>
      <c r="D63" s="3">
        <v>1</v>
      </c>
    </row>
    <row r="64" spans="1:4" ht="16" x14ac:dyDescent="0.2">
      <c r="A64" s="5">
        <v>42808</v>
      </c>
      <c r="B64" s="4">
        <f t="shared" si="0"/>
        <v>439</v>
      </c>
      <c r="C64" s="3">
        <v>5</v>
      </c>
      <c r="D64" s="3">
        <v>1</v>
      </c>
    </row>
    <row r="65" spans="1:4" ht="16" x14ac:dyDescent="0.2">
      <c r="A65" s="5">
        <v>42811</v>
      </c>
      <c r="B65" s="4">
        <f t="shared" si="0"/>
        <v>442</v>
      </c>
      <c r="C65" s="3">
        <v>3</v>
      </c>
      <c r="D65" s="3">
        <v>1</v>
      </c>
    </row>
    <row r="66" spans="1:4" ht="16" x14ac:dyDescent="0.2">
      <c r="A66" s="5">
        <v>42812</v>
      </c>
      <c r="B66" s="4">
        <f t="shared" si="0"/>
        <v>443</v>
      </c>
      <c r="C66" s="3">
        <v>1</v>
      </c>
      <c r="D66" s="3">
        <v>3</v>
      </c>
    </row>
    <row r="67" spans="1:4" ht="16" x14ac:dyDescent="0.2">
      <c r="A67" s="5">
        <v>42813</v>
      </c>
      <c r="B67" s="4">
        <f t="shared" si="0"/>
        <v>444</v>
      </c>
      <c r="C67" s="3">
        <v>1</v>
      </c>
      <c r="D67" s="3">
        <v>1</v>
      </c>
    </row>
    <row r="68" spans="1:4" ht="16" x14ac:dyDescent="0.2">
      <c r="A68" s="5">
        <v>42816</v>
      </c>
      <c r="B68" s="4">
        <f t="shared" ref="B68:B131" si="1">_xlfn.DAYS(A68,$A$2)+1</f>
        <v>447</v>
      </c>
      <c r="C68" s="3">
        <v>3</v>
      </c>
      <c r="D68" s="3">
        <v>1</v>
      </c>
    </row>
    <row r="69" spans="1:4" ht="16" x14ac:dyDescent="0.2">
      <c r="A69" s="5">
        <v>42817</v>
      </c>
      <c r="B69" s="4">
        <f t="shared" si="1"/>
        <v>448</v>
      </c>
      <c r="C69" s="3">
        <v>1</v>
      </c>
      <c r="D69" s="3">
        <v>4</v>
      </c>
    </row>
    <row r="70" spans="1:4" ht="16" x14ac:dyDescent="0.2">
      <c r="A70" s="5">
        <v>42823</v>
      </c>
      <c r="B70" s="4">
        <f t="shared" si="1"/>
        <v>454</v>
      </c>
      <c r="C70" s="3">
        <v>6</v>
      </c>
      <c r="D70" s="3">
        <v>3</v>
      </c>
    </row>
    <row r="71" spans="1:4" ht="16" x14ac:dyDescent="0.2">
      <c r="A71" s="5">
        <v>42837</v>
      </c>
      <c r="B71" s="4">
        <f t="shared" si="1"/>
        <v>468</v>
      </c>
      <c r="C71" s="3">
        <v>14</v>
      </c>
      <c r="D71" s="3">
        <v>3</v>
      </c>
    </row>
    <row r="72" spans="1:4" ht="16" x14ac:dyDescent="0.2">
      <c r="A72" s="5">
        <v>42838</v>
      </c>
      <c r="B72" s="4">
        <f t="shared" si="1"/>
        <v>469</v>
      </c>
      <c r="C72" s="3">
        <v>1</v>
      </c>
      <c r="D72" s="3">
        <v>2</v>
      </c>
    </row>
    <row r="73" spans="1:4" ht="16" x14ac:dyDescent="0.2">
      <c r="A73" s="5">
        <v>42838</v>
      </c>
      <c r="B73" s="4">
        <f t="shared" si="1"/>
        <v>469</v>
      </c>
      <c r="C73" s="3">
        <v>0</v>
      </c>
      <c r="D73" s="3">
        <v>1</v>
      </c>
    </row>
    <row r="74" spans="1:4" ht="16" x14ac:dyDescent="0.2">
      <c r="A74" s="5">
        <v>42878</v>
      </c>
      <c r="B74" s="4">
        <f t="shared" si="1"/>
        <v>509</v>
      </c>
      <c r="C74" s="3">
        <v>40</v>
      </c>
      <c r="D74" s="3">
        <v>1</v>
      </c>
    </row>
    <row r="75" spans="1:4" ht="16" x14ac:dyDescent="0.2">
      <c r="A75" s="5">
        <v>42886</v>
      </c>
      <c r="B75" s="4">
        <f t="shared" si="1"/>
        <v>517</v>
      </c>
      <c r="C75" s="3">
        <v>8</v>
      </c>
      <c r="D75" s="3">
        <v>5</v>
      </c>
    </row>
    <row r="76" spans="1:4" ht="16" x14ac:dyDescent="0.2">
      <c r="A76" s="5">
        <v>42894</v>
      </c>
      <c r="B76" s="4">
        <f t="shared" si="1"/>
        <v>525</v>
      </c>
      <c r="C76" s="3">
        <v>8</v>
      </c>
      <c r="D76" s="3">
        <v>5</v>
      </c>
    </row>
    <row r="77" spans="1:4" ht="16" x14ac:dyDescent="0.2">
      <c r="A77" s="5">
        <v>42899</v>
      </c>
      <c r="B77" s="4">
        <f t="shared" si="1"/>
        <v>530</v>
      </c>
      <c r="C77" s="3">
        <v>5</v>
      </c>
      <c r="D77" s="3">
        <v>4</v>
      </c>
    </row>
    <row r="78" spans="1:4" ht="16" x14ac:dyDescent="0.2">
      <c r="A78" s="5">
        <v>42904</v>
      </c>
      <c r="B78" s="4">
        <f t="shared" si="1"/>
        <v>535</v>
      </c>
      <c r="C78" s="3">
        <v>5</v>
      </c>
      <c r="D78" s="3">
        <v>1</v>
      </c>
    </row>
    <row r="79" spans="1:4" ht="16" x14ac:dyDescent="0.2">
      <c r="A79" s="5">
        <v>42917</v>
      </c>
      <c r="B79" s="4">
        <f t="shared" si="1"/>
        <v>548</v>
      </c>
      <c r="C79" s="3">
        <v>13</v>
      </c>
      <c r="D79" s="3">
        <v>3</v>
      </c>
    </row>
    <row r="80" spans="1:4" ht="16" x14ac:dyDescent="0.2">
      <c r="A80" s="5">
        <v>42924</v>
      </c>
      <c r="B80" s="4">
        <f t="shared" si="1"/>
        <v>555</v>
      </c>
      <c r="C80" s="3">
        <v>7</v>
      </c>
      <c r="D80" s="3">
        <v>4</v>
      </c>
    </row>
    <row r="81" spans="1:4" ht="16" x14ac:dyDescent="0.2">
      <c r="A81" s="5">
        <v>42924</v>
      </c>
      <c r="B81" s="4">
        <f t="shared" si="1"/>
        <v>555</v>
      </c>
      <c r="C81" s="3">
        <v>0</v>
      </c>
      <c r="D81" s="3">
        <v>3</v>
      </c>
    </row>
    <row r="82" spans="1:4" ht="16" x14ac:dyDescent="0.2">
      <c r="A82" s="5">
        <v>42936</v>
      </c>
      <c r="B82" s="4">
        <f t="shared" si="1"/>
        <v>567</v>
      </c>
      <c r="C82" s="3">
        <v>12</v>
      </c>
      <c r="D82" s="3">
        <v>4</v>
      </c>
    </row>
    <row r="83" spans="1:4" ht="16" x14ac:dyDescent="0.2">
      <c r="A83" s="5">
        <v>42937</v>
      </c>
      <c r="B83" s="4">
        <f t="shared" si="1"/>
        <v>568</v>
      </c>
      <c r="C83" s="3">
        <v>1</v>
      </c>
      <c r="D83" s="3">
        <v>2</v>
      </c>
    </row>
    <row r="84" spans="1:4" ht="16" x14ac:dyDescent="0.2">
      <c r="A84" s="5">
        <v>42958</v>
      </c>
      <c r="B84" s="4">
        <f t="shared" si="1"/>
        <v>589</v>
      </c>
      <c r="C84" s="3">
        <v>21</v>
      </c>
      <c r="D84" s="3">
        <v>4</v>
      </c>
    </row>
    <row r="85" spans="1:4" ht="16" x14ac:dyDescent="0.2">
      <c r="A85" s="5">
        <v>42988</v>
      </c>
      <c r="B85" s="4">
        <f t="shared" si="1"/>
        <v>619</v>
      </c>
      <c r="C85" s="3">
        <v>30</v>
      </c>
      <c r="D85" s="3">
        <v>4</v>
      </c>
    </row>
    <row r="86" spans="1:4" ht="16" x14ac:dyDescent="0.2">
      <c r="A86" s="5">
        <v>42988</v>
      </c>
      <c r="B86" s="4">
        <f t="shared" si="1"/>
        <v>619</v>
      </c>
      <c r="C86" s="3">
        <v>0</v>
      </c>
      <c r="D86" s="3">
        <v>6</v>
      </c>
    </row>
    <row r="87" spans="1:4" ht="16" x14ac:dyDescent="0.2">
      <c r="A87" s="5">
        <v>43001</v>
      </c>
      <c r="B87" s="4">
        <f t="shared" si="1"/>
        <v>632</v>
      </c>
      <c r="C87" s="3">
        <v>13</v>
      </c>
      <c r="D87" s="3">
        <v>1</v>
      </c>
    </row>
    <row r="88" spans="1:4" ht="16" x14ac:dyDescent="0.2">
      <c r="A88" s="5">
        <v>43003</v>
      </c>
      <c r="B88" s="4">
        <f t="shared" si="1"/>
        <v>634</v>
      </c>
      <c r="C88" s="3">
        <v>2</v>
      </c>
      <c r="D88" s="3">
        <v>3</v>
      </c>
    </row>
    <row r="89" spans="1:4" ht="16" x14ac:dyDescent="0.2">
      <c r="A89" s="5">
        <v>43008</v>
      </c>
      <c r="B89" s="4">
        <f t="shared" si="1"/>
        <v>639</v>
      </c>
      <c r="C89" s="3">
        <v>5</v>
      </c>
      <c r="D89" s="3">
        <v>2</v>
      </c>
    </row>
    <row r="90" spans="1:4" ht="16" x14ac:dyDescent="0.2">
      <c r="A90" s="5">
        <v>43017</v>
      </c>
      <c r="B90" s="4">
        <f t="shared" si="1"/>
        <v>648</v>
      </c>
      <c r="C90" s="3">
        <v>9</v>
      </c>
      <c r="D90" s="3">
        <v>2</v>
      </c>
    </row>
    <row r="91" spans="1:4" ht="16" x14ac:dyDescent="0.2">
      <c r="A91" s="5">
        <v>43019</v>
      </c>
      <c r="B91" s="4">
        <f t="shared" si="1"/>
        <v>650</v>
      </c>
      <c r="C91" s="3">
        <v>2</v>
      </c>
      <c r="D91" s="3">
        <v>8</v>
      </c>
    </row>
    <row r="92" spans="1:4" ht="16" x14ac:dyDescent="0.2">
      <c r="A92" s="5">
        <v>43028</v>
      </c>
      <c r="B92" s="4">
        <f t="shared" si="1"/>
        <v>659</v>
      </c>
      <c r="C92" s="3">
        <v>9</v>
      </c>
      <c r="D92" s="3">
        <v>1</v>
      </c>
    </row>
    <row r="93" spans="1:4" ht="16" x14ac:dyDescent="0.2">
      <c r="A93" s="5">
        <v>43030</v>
      </c>
      <c r="B93" s="4">
        <f t="shared" si="1"/>
        <v>661</v>
      </c>
      <c r="C93" s="3">
        <v>2</v>
      </c>
      <c r="D93" s="3">
        <v>2</v>
      </c>
    </row>
    <row r="94" spans="1:4" ht="16" x14ac:dyDescent="0.2">
      <c r="A94" s="5">
        <v>43038</v>
      </c>
      <c r="B94" s="4">
        <f t="shared" si="1"/>
        <v>669</v>
      </c>
      <c r="C94" s="3">
        <v>8</v>
      </c>
      <c r="D94" s="3">
        <v>7</v>
      </c>
    </row>
    <row r="95" spans="1:4" ht="16" x14ac:dyDescent="0.2">
      <c r="A95" s="5">
        <v>43043</v>
      </c>
      <c r="B95" s="4">
        <f t="shared" si="1"/>
        <v>674</v>
      </c>
      <c r="C95" s="3">
        <v>5</v>
      </c>
      <c r="D95" s="3">
        <v>10</v>
      </c>
    </row>
    <row r="96" spans="1:4" ht="16" x14ac:dyDescent="0.2">
      <c r="A96" s="5">
        <v>43047</v>
      </c>
      <c r="B96" s="4">
        <f t="shared" si="1"/>
        <v>678</v>
      </c>
      <c r="C96" s="3">
        <v>4</v>
      </c>
      <c r="D96" s="3">
        <v>1</v>
      </c>
    </row>
    <row r="97" spans="1:4" ht="16" x14ac:dyDescent="0.2">
      <c r="A97" s="5">
        <v>43063</v>
      </c>
      <c r="B97" s="4">
        <f t="shared" si="1"/>
        <v>694</v>
      </c>
      <c r="C97" s="3">
        <v>16</v>
      </c>
      <c r="D97" s="3">
        <v>3</v>
      </c>
    </row>
    <row r="98" spans="1:4" ht="16" x14ac:dyDescent="0.2">
      <c r="A98" s="5">
        <v>43071</v>
      </c>
      <c r="B98" s="4">
        <f t="shared" si="1"/>
        <v>702</v>
      </c>
      <c r="C98" s="3">
        <v>8</v>
      </c>
      <c r="D98" s="3">
        <v>4</v>
      </c>
    </row>
    <row r="99" spans="1:4" ht="16" x14ac:dyDescent="0.2">
      <c r="A99" s="5">
        <v>43076</v>
      </c>
      <c r="B99" s="4">
        <f t="shared" si="1"/>
        <v>707</v>
      </c>
      <c r="C99" s="3">
        <v>5</v>
      </c>
      <c r="D99" s="3">
        <v>7</v>
      </c>
    </row>
    <row r="100" spans="1:4" ht="16" x14ac:dyDescent="0.2">
      <c r="A100" s="5">
        <v>43077</v>
      </c>
      <c r="B100" s="4">
        <f t="shared" si="1"/>
        <v>708</v>
      </c>
      <c r="C100" s="3">
        <v>1</v>
      </c>
      <c r="D100" s="3">
        <v>1</v>
      </c>
    </row>
    <row r="101" spans="1:4" ht="16" x14ac:dyDescent="0.2">
      <c r="A101" s="5">
        <v>43083</v>
      </c>
      <c r="B101" s="4">
        <f t="shared" si="1"/>
        <v>714</v>
      </c>
      <c r="C101" s="3">
        <v>6</v>
      </c>
      <c r="D101" s="3">
        <v>3</v>
      </c>
    </row>
    <row r="102" spans="1:4" ht="16" x14ac:dyDescent="0.2">
      <c r="A102" s="5">
        <v>43108</v>
      </c>
      <c r="B102" s="4">
        <f t="shared" si="1"/>
        <v>739</v>
      </c>
      <c r="C102" s="3">
        <v>25</v>
      </c>
      <c r="D102" s="3">
        <v>7</v>
      </c>
    </row>
    <row r="103" spans="1:4" ht="16" x14ac:dyDescent="0.2">
      <c r="A103" s="5">
        <v>43110</v>
      </c>
      <c r="B103" s="4">
        <f t="shared" si="1"/>
        <v>741</v>
      </c>
      <c r="C103" s="3">
        <v>2</v>
      </c>
      <c r="D103" s="3">
        <v>4</v>
      </c>
    </row>
    <row r="104" spans="1:4" ht="16" x14ac:dyDescent="0.2">
      <c r="A104" s="5">
        <v>43114</v>
      </c>
      <c r="B104" s="4">
        <f t="shared" si="1"/>
        <v>745</v>
      </c>
      <c r="C104" s="3">
        <v>4</v>
      </c>
      <c r="D104" s="3">
        <v>3</v>
      </c>
    </row>
    <row r="105" spans="1:4" ht="16" x14ac:dyDescent="0.2">
      <c r="A105" s="5">
        <v>43127</v>
      </c>
      <c r="B105" s="4">
        <f t="shared" si="1"/>
        <v>758</v>
      </c>
      <c r="C105" s="3">
        <v>13</v>
      </c>
      <c r="D105" s="3">
        <v>1</v>
      </c>
    </row>
    <row r="106" spans="1:4" ht="16" x14ac:dyDescent="0.2">
      <c r="A106" s="5">
        <v>43140</v>
      </c>
      <c r="B106" s="4">
        <f t="shared" si="1"/>
        <v>771</v>
      </c>
      <c r="C106" s="3">
        <v>13</v>
      </c>
      <c r="D106" s="3">
        <v>5</v>
      </c>
    </row>
    <row r="107" spans="1:4" ht="16" x14ac:dyDescent="0.2">
      <c r="A107" s="5">
        <v>43145</v>
      </c>
      <c r="B107" s="4">
        <f t="shared" si="1"/>
        <v>776</v>
      </c>
      <c r="C107" s="3">
        <v>5</v>
      </c>
      <c r="D107" s="3">
        <v>4</v>
      </c>
    </row>
    <row r="108" spans="1:4" ht="16" x14ac:dyDescent="0.2">
      <c r="A108" s="5">
        <v>43146</v>
      </c>
      <c r="B108" s="4">
        <f t="shared" si="1"/>
        <v>777</v>
      </c>
      <c r="C108" s="3">
        <v>1</v>
      </c>
      <c r="D108" s="3">
        <v>1</v>
      </c>
    </row>
    <row r="109" spans="1:4" ht="16" x14ac:dyDescent="0.2">
      <c r="A109" s="5">
        <v>43158</v>
      </c>
      <c r="B109" s="4">
        <f t="shared" si="1"/>
        <v>789</v>
      </c>
      <c r="C109" s="3">
        <v>12</v>
      </c>
      <c r="D109" s="3">
        <v>1</v>
      </c>
    </row>
    <row r="110" spans="1:4" ht="16" x14ac:dyDescent="0.2">
      <c r="A110" s="5">
        <v>43164</v>
      </c>
      <c r="B110" s="4">
        <f t="shared" si="1"/>
        <v>795</v>
      </c>
      <c r="C110" s="3">
        <v>6</v>
      </c>
      <c r="D110" s="3">
        <v>3</v>
      </c>
    </row>
    <row r="111" spans="1:4" ht="16" x14ac:dyDescent="0.2">
      <c r="A111" s="5">
        <v>43164</v>
      </c>
      <c r="B111" s="4">
        <f t="shared" si="1"/>
        <v>795</v>
      </c>
      <c r="C111" s="3">
        <v>0</v>
      </c>
      <c r="D111" s="3">
        <v>1</v>
      </c>
    </row>
    <row r="112" spans="1:4" ht="16" x14ac:dyDescent="0.2">
      <c r="A112" s="5">
        <v>43184</v>
      </c>
      <c r="B112" s="4">
        <f t="shared" si="1"/>
        <v>815</v>
      </c>
      <c r="C112" s="3">
        <v>20</v>
      </c>
      <c r="D112" s="3">
        <v>4</v>
      </c>
    </row>
    <row r="113" spans="1:4" ht="16" x14ac:dyDescent="0.2">
      <c r="A113" s="5">
        <v>43190</v>
      </c>
      <c r="B113" s="4">
        <f t="shared" si="1"/>
        <v>821</v>
      </c>
      <c r="C113" s="3">
        <v>6</v>
      </c>
      <c r="D113" s="3">
        <v>1</v>
      </c>
    </row>
    <row r="114" spans="1:4" ht="16" x14ac:dyDescent="0.2">
      <c r="A114" s="5">
        <v>43211</v>
      </c>
      <c r="B114" s="4">
        <f t="shared" si="1"/>
        <v>842</v>
      </c>
      <c r="C114" s="3">
        <v>21</v>
      </c>
      <c r="D114" s="3">
        <v>1</v>
      </c>
    </row>
    <row r="115" spans="1:4" ht="16" x14ac:dyDescent="0.2">
      <c r="A115" s="5">
        <v>43216</v>
      </c>
      <c r="B115" s="4">
        <f t="shared" si="1"/>
        <v>847</v>
      </c>
      <c r="C115" s="3">
        <v>5</v>
      </c>
      <c r="D115" s="3">
        <v>4</v>
      </c>
    </row>
    <row r="116" spans="1:4" ht="16" x14ac:dyDescent="0.2">
      <c r="A116" s="5">
        <v>43229</v>
      </c>
      <c r="B116" s="4">
        <f t="shared" si="1"/>
        <v>860</v>
      </c>
      <c r="C116" s="3">
        <v>13</v>
      </c>
      <c r="D116" s="3">
        <v>10</v>
      </c>
    </row>
    <row r="117" spans="1:4" ht="16" x14ac:dyDescent="0.2">
      <c r="A117" s="5">
        <v>43236</v>
      </c>
      <c r="B117" s="4">
        <f t="shared" si="1"/>
        <v>867</v>
      </c>
      <c r="C117" s="3">
        <v>7</v>
      </c>
      <c r="D117" s="3">
        <v>1</v>
      </c>
    </row>
    <row r="118" spans="1:4" ht="16" x14ac:dyDescent="0.2">
      <c r="A118" s="5">
        <v>43237</v>
      </c>
      <c r="B118" s="4">
        <f t="shared" si="1"/>
        <v>868</v>
      </c>
      <c r="C118" s="3">
        <v>1</v>
      </c>
      <c r="D118" s="3">
        <v>2</v>
      </c>
    </row>
    <row r="119" spans="1:4" ht="16" x14ac:dyDescent="0.2">
      <c r="A119" s="5">
        <v>43242</v>
      </c>
      <c r="B119" s="4">
        <f t="shared" si="1"/>
        <v>873</v>
      </c>
      <c r="C119" s="3">
        <v>5</v>
      </c>
      <c r="D119" s="3">
        <v>1</v>
      </c>
    </row>
    <row r="120" spans="1:4" ht="16" x14ac:dyDescent="0.2">
      <c r="A120" s="5">
        <v>43247</v>
      </c>
      <c r="B120" s="4">
        <f t="shared" si="1"/>
        <v>878</v>
      </c>
      <c r="C120" s="3">
        <v>5</v>
      </c>
      <c r="D120" s="3">
        <v>12</v>
      </c>
    </row>
    <row r="121" spans="1:4" ht="16" x14ac:dyDescent="0.2">
      <c r="A121" s="5">
        <v>43251</v>
      </c>
      <c r="B121" s="4">
        <f t="shared" si="1"/>
        <v>882</v>
      </c>
      <c r="C121" s="3">
        <v>4</v>
      </c>
      <c r="D121" s="3">
        <v>3</v>
      </c>
    </row>
    <row r="122" spans="1:4" ht="16" x14ac:dyDescent="0.2">
      <c r="A122" s="5">
        <v>43255</v>
      </c>
      <c r="B122" s="4">
        <f t="shared" si="1"/>
        <v>886</v>
      </c>
      <c r="C122" s="3">
        <v>4</v>
      </c>
      <c r="D122" s="3">
        <v>2</v>
      </c>
    </row>
    <row r="123" spans="1:4" ht="16" x14ac:dyDescent="0.2">
      <c r="A123" s="5">
        <v>43262</v>
      </c>
      <c r="B123" s="4">
        <f t="shared" si="1"/>
        <v>893</v>
      </c>
      <c r="C123" s="3">
        <v>7</v>
      </c>
      <c r="D123" s="3">
        <v>5</v>
      </c>
    </row>
    <row r="124" spans="1:4" ht="16" x14ac:dyDescent="0.2">
      <c r="A124" s="5">
        <v>43271</v>
      </c>
      <c r="B124" s="4">
        <f t="shared" si="1"/>
        <v>902</v>
      </c>
      <c r="C124" s="3">
        <v>9</v>
      </c>
      <c r="D124" s="3">
        <v>2</v>
      </c>
    </row>
    <row r="125" spans="1:4" ht="16" x14ac:dyDescent="0.2">
      <c r="A125" s="5">
        <v>43272</v>
      </c>
      <c r="B125" s="4">
        <f t="shared" si="1"/>
        <v>903</v>
      </c>
      <c r="C125" s="3">
        <v>1</v>
      </c>
      <c r="D125" s="3">
        <v>1</v>
      </c>
    </row>
    <row r="126" spans="1:4" ht="16" x14ac:dyDescent="0.2">
      <c r="A126" s="5">
        <v>43273</v>
      </c>
      <c r="B126" s="4">
        <f t="shared" si="1"/>
        <v>904</v>
      </c>
      <c r="C126" s="3">
        <v>1</v>
      </c>
      <c r="D126" s="3">
        <v>1</v>
      </c>
    </row>
    <row r="127" spans="1:4" ht="16" x14ac:dyDescent="0.2">
      <c r="A127" s="5">
        <v>43273</v>
      </c>
      <c r="B127" s="4">
        <f t="shared" si="1"/>
        <v>904</v>
      </c>
      <c r="C127" s="3">
        <v>0</v>
      </c>
      <c r="D127" s="3">
        <v>1</v>
      </c>
    </row>
    <row r="128" spans="1:4" ht="16" x14ac:dyDescent="0.2">
      <c r="A128" s="5">
        <v>43274</v>
      </c>
      <c r="B128" s="4">
        <f t="shared" si="1"/>
        <v>905</v>
      </c>
      <c r="C128" s="3">
        <v>1</v>
      </c>
      <c r="D128" s="3">
        <v>3</v>
      </c>
    </row>
    <row r="129" spans="1:4" ht="16" x14ac:dyDescent="0.2">
      <c r="A129" s="5">
        <v>43286</v>
      </c>
      <c r="B129" s="4">
        <f t="shared" si="1"/>
        <v>917</v>
      </c>
      <c r="C129" s="3">
        <v>12</v>
      </c>
      <c r="D129" s="3">
        <v>4</v>
      </c>
    </row>
    <row r="130" spans="1:4" ht="16" x14ac:dyDescent="0.2">
      <c r="A130" s="5">
        <v>43293</v>
      </c>
      <c r="B130" s="4">
        <f t="shared" si="1"/>
        <v>924</v>
      </c>
      <c r="C130" s="3">
        <v>7</v>
      </c>
      <c r="D130" s="3">
        <v>6</v>
      </c>
    </row>
    <row r="131" spans="1:4" ht="16" x14ac:dyDescent="0.2">
      <c r="A131" s="5">
        <v>43294</v>
      </c>
      <c r="B131" s="4">
        <f t="shared" si="1"/>
        <v>925</v>
      </c>
      <c r="C131" s="3">
        <v>1</v>
      </c>
      <c r="D131" s="3">
        <v>1</v>
      </c>
    </row>
    <row r="132" spans="1:4" ht="16" x14ac:dyDescent="0.2">
      <c r="A132" s="5">
        <v>43297</v>
      </c>
      <c r="B132" s="4">
        <f t="shared" ref="B132:B150" si="2">_xlfn.DAYS(A132,$A$2)+1</f>
        <v>928</v>
      </c>
      <c r="C132" s="3">
        <v>3</v>
      </c>
      <c r="D132" s="3">
        <v>4</v>
      </c>
    </row>
    <row r="133" spans="1:4" ht="16" x14ac:dyDescent="0.2">
      <c r="A133" s="5">
        <v>43305</v>
      </c>
      <c r="B133" s="4">
        <f t="shared" si="2"/>
        <v>936</v>
      </c>
      <c r="C133" s="3">
        <v>8</v>
      </c>
      <c r="D133" s="3">
        <v>2</v>
      </c>
    </row>
    <row r="134" spans="1:4" ht="16" x14ac:dyDescent="0.2">
      <c r="A134" s="5">
        <v>43309</v>
      </c>
      <c r="B134" s="4">
        <f t="shared" si="2"/>
        <v>940</v>
      </c>
      <c r="C134" s="3">
        <v>4</v>
      </c>
      <c r="D134" s="3">
        <v>2</v>
      </c>
    </row>
    <row r="135" spans="1:4" ht="16" x14ac:dyDescent="0.2">
      <c r="A135" s="5">
        <v>43316</v>
      </c>
      <c r="B135" s="4">
        <f t="shared" si="2"/>
        <v>947</v>
      </c>
      <c r="C135" s="3">
        <v>7</v>
      </c>
      <c r="D135" s="3">
        <v>2</v>
      </c>
    </row>
    <row r="136" spans="1:4" ht="16" x14ac:dyDescent="0.2">
      <c r="A136" s="5">
        <v>43321</v>
      </c>
      <c r="B136" s="4">
        <f t="shared" si="2"/>
        <v>952</v>
      </c>
      <c r="C136" s="3">
        <v>5</v>
      </c>
      <c r="D136" s="3">
        <v>3</v>
      </c>
    </row>
    <row r="137" spans="1:4" ht="16" x14ac:dyDescent="0.2">
      <c r="A137" s="5">
        <v>43338</v>
      </c>
      <c r="B137" s="4">
        <f t="shared" si="2"/>
        <v>969</v>
      </c>
      <c r="C137" s="3">
        <v>17</v>
      </c>
      <c r="D137" s="3">
        <v>2</v>
      </c>
    </row>
    <row r="138" spans="1:4" ht="16" x14ac:dyDescent="0.2">
      <c r="A138" s="5">
        <v>43348</v>
      </c>
      <c r="B138" s="4">
        <f t="shared" si="2"/>
        <v>979</v>
      </c>
      <c r="C138" s="3">
        <v>10</v>
      </c>
      <c r="D138" s="3">
        <v>1</v>
      </c>
    </row>
    <row r="139" spans="1:4" ht="16" x14ac:dyDescent="0.2">
      <c r="A139" s="5">
        <v>43351</v>
      </c>
      <c r="B139" s="4">
        <f t="shared" si="2"/>
        <v>982</v>
      </c>
      <c r="C139" s="3">
        <v>3</v>
      </c>
      <c r="D139" s="3">
        <v>2</v>
      </c>
    </row>
    <row r="140" spans="1:4" ht="16" x14ac:dyDescent="0.2">
      <c r="A140" s="5">
        <v>43355</v>
      </c>
      <c r="B140" s="4">
        <f t="shared" si="2"/>
        <v>986</v>
      </c>
      <c r="C140" s="3">
        <v>4</v>
      </c>
      <c r="D140" s="3">
        <v>1</v>
      </c>
    </row>
    <row r="141" spans="1:4" ht="16" x14ac:dyDescent="0.2">
      <c r="A141" s="5">
        <v>43361</v>
      </c>
      <c r="B141" s="4">
        <f t="shared" si="2"/>
        <v>992</v>
      </c>
      <c r="C141" s="3">
        <v>6</v>
      </c>
      <c r="D141" s="3">
        <v>1</v>
      </c>
    </row>
    <row r="142" spans="1:4" ht="16" x14ac:dyDescent="0.2">
      <c r="A142" s="5">
        <v>43361</v>
      </c>
      <c r="B142" s="4">
        <f t="shared" si="2"/>
        <v>992</v>
      </c>
      <c r="C142" s="3">
        <v>0</v>
      </c>
      <c r="D142" s="3">
        <v>9</v>
      </c>
    </row>
    <row r="143" spans="1:4" ht="16" x14ac:dyDescent="0.2">
      <c r="A143" s="5">
        <v>43378</v>
      </c>
      <c r="B143" s="4">
        <f t="shared" si="2"/>
        <v>1009</v>
      </c>
      <c r="C143" s="3">
        <v>17</v>
      </c>
      <c r="D143" s="3">
        <v>6</v>
      </c>
    </row>
    <row r="144" spans="1:4" ht="16" x14ac:dyDescent="0.2">
      <c r="A144" s="5">
        <v>43385</v>
      </c>
      <c r="B144" s="4">
        <f t="shared" si="2"/>
        <v>1016</v>
      </c>
      <c r="C144" s="3">
        <v>7</v>
      </c>
      <c r="D144" s="3">
        <v>9</v>
      </c>
    </row>
    <row r="145" spans="1:4" ht="16" x14ac:dyDescent="0.2">
      <c r="A145" s="5">
        <v>43399</v>
      </c>
      <c r="B145" s="4">
        <f t="shared" si="2"/>
        <v>1030</v>
      </c>
      <c r="C145" s="3">
        <v>14</v>
      </c>
      <c r="D145" s="3">
        <v>6</v>
      </c>
    </row>
    <row r="146" spans="1:4" ht="16" x14ac:dyDescent="0.2">
      <c r="A146" s="5">
        <v>43408</v>
      </c>
      <c r="B146" s="4">
        <f t="shared" si="2"/>
        <v>1039</v>
      </c>
      <c r="C146" s="3">
        <v>9</v>
      </c>
      <c r="D146" s="3">
        <v>1</v>
      </c>
    </row>
    <row r="147" spans="1:4" ht="16" x14ac:dyDescent="0.2">
      <c r="A147" s="5">
        <v>43449</v>
      </c>
      <c r="B147" s="4">
        <f t="shared" si="2"/>
        <v>1080</v>
      </c>
      <c r="C147" s="3">
        <v>41</v>
      </c>
      <c r="D147" s="3">
        <v>5</v>
      </c>
    </row>
    <row r="148" spans="1:4" ht="16" x14ac:dyDescent="0.2">
      <c r="A148" s="5">
        <v>43451</v>
      </c>
      <c r="B148" s="4">
        <f t="shared" si="2"/>
        <v>1082</v>
      </c>
      <c r="C148" s="3">
        <v>2</v>
      </c>
      <c r="D148" s="3">
        <v>3</v>
      </c>
    </row>
    <row r="149" spans="1:4" ht="16" x14ac:dyDescent="0.2">
      <c r="A149" s="5">
        <v>43455</v>
      </c>
      <c r="B149" s="4">
        <f t="shared" si="2"/>
        <v>1086</v>
      </c>
      <c r="C149" s="3">
        <v>4</v>
      </c>
      <c r="D149" s="3">
        <v>1</v>
      </c>
    </row>
    <row r="150" spans="1:4" ht="16" x14ac:dyDescent="0.2">
      <c r="A150" s="5">
        <v>43460</v>
      </c>
      <c r="B150" s="4">
        <f t="shared" si="2"/>
        <v>1091</v>
      </c>
      <c r="C150" s="3">
        <v>5</v>
      </c>
      <c r="D150" s="3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yData">
                <anchor moveWithCells="1" sizeWithCells="1">
                  <from>
                    <xdr:col>5</xdr:col>
                    <xdr:colOff>698500</xdr:colOff>
                    <xdr:row>2</xdr:row>
                    <xdr:rowOff>25400</xdr:rowOff>
                  </from>
                  <to>
                    <xdr:col>7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51"/>
  <dimension ref="A1:J214"/>
  <sheetViews>
    <sheetView workbookViewId="0">
      <selection sqref="A1:D1"/>
    </sheetView>
  </sheetViews>
  <sheetFormatPr baseColWidth="10" defaultColWidth="8.83203125" defaultRowHeight="16" x14ac:dyDescent="0.2"/>
  <cols>
    <col min="1" max="1" width="10.83203125" style="5" bestFit="1" customWidth="1"/>
    <col min="2" max="2" width="8.5" style="4" bestFit="1" customWidth="1"/>
    <col min="3" max="3" width="12" style="3" bestFit="1" customWidth="1"/>
    <col min="4" max="4" width="9.5" style="3" bestFit="1" customWidth="1"/>
    <col min="6" max="6" width="16.33203125" customWidth="1"/>
    <col min="7" max="7" width="15.6640625" customWidth="1"/>
  </cols>
  <sheetData>
    <row r="1" spans="1:10" x14ac:dyDescent="0.2">
      <c r="A1" s="5" t="s">
        <v>1</v>
      </c>
      <c r="B1" s="4" t="s">
        <v>35</v>
      </c>
      <c r="C1" s="3" t="s">
        <v>0</v>
      </c>
      <c r="D1" s="3" t="s">
        <v>2</v>
      </c>
    </row>
    <row r="2" spans="1:10" x14ac:dyDescent="0.2">
      <c r="A2" s="5">
        <v>42370</v>
      </c>
      <c r="B2" s="4">
        <v>1</v>
      </c>
      <c r="D2" s="3">
        <v>8</v>
      </c>
      <c r="J2" s="2"/>
    </row>
    <row r="3" spans="1:10" x14ac:dyDescent="0.2">
      <c r="A3" s="5">
        <v>42375</v>
      </c>
      <c r="B3" s="4">
        <f>_xlfn.DAYS(A3,$A$2)+1</f>
        <v>6</v>
      </c>
      <c r="C3" s="3">
        <v>5</v>
      </c>
      <c r="D3" s="3">
        <v>10</v>
      </c>
    </row>
    <row r="4" spans="1:10" x14ac:dyDescent="0.2">
      <c r="A4" s="5">
        <v>42377</v>
      </c>
      <c r="B4" s="4">
        <f t="shared" ref="B4:B67" si="0">_xlfn.DAYS(A4,$A$2)+1</f>
        <v>8</v>
      </c>
      <c r="C4" s="3">
        <v>2</v>
      </c>
      <c r="D4" s="3">
        <v>10</v>
      </c>
    </row>
    <row r="5" spans="1:10" x14ac:dyDescent="0.2">
      <c r="A5" s="5">
        <v>42380</v>
      </c>
      <c r="B5" s="4">
        <f t="shared" si="0"/>
        <v>11</v>
      </c>
      <c r="C5" s="3">
        <v>3</v>
      </c>
      <c r="D5" s="3">
        <v>7</v>
      </c>
    </row>
    <row r="6" spans="1:10" x14ac:dyDescent="0.2">
      <c r="A6" s="5">
        <v>42391</v>
      </c>
      <c r="B6" s="4">
        <f t="shared" si="0"/>
        <v>22</v>
      </c>
      <c r="C6" s="3">
        <v>11</v>
      </c>
      <c r="D6" s="3">
        <v>9</v>
      </c>
    </row>
    <row r="7" spans="1:10" x14ac:dyDescent="0.2">
      <c r="A7" s="5">
        <v>42401</v>
      </c>
      <c r="B7" s="4">
        <f t="shared" si="0"/>
        <v>32</v>
      </c>
      <c r="C7" s="3">
        <v>10</v>
      </c>
      <c r="D7" s="3">
        <v>8</v>
      </c>
    </row>
    <row r="8" spans="1:10" x14ac:dyDescent="0.2">
      <c r="A8" s="5">
        <v>42405</v>
      </c>
      <c r="B8" s="4">
        <f t="shared" si="0"/>
        <v>36</v>
      </c>
      <c r="C8" s="3">
        <v>4</v>
      </c>
      <c r="D8" s="3">
        <v>8</v>
      </c>
    </row>
    <row r="9" spans="1:10" x14ac:dyDescent="0.2">
      <c r="A9" s="5">
        <v>42406</v>
      </c>
      <c r="B9" s="4">
        <f t="shared" si="0"/>
        <v>37</v>
      </c>
      <c r="C9" s="3">
        <v>1</v>
      </c>
      <c r="D9" s="3">
        <v>7</v>
      </c>
    </row>
    <row r="10" spans="1:10" x14ac:dyDescent="0.2">
      <c r="A10" s="5">
        <v>42413</v>
      </c>
      <c r="B10" s="4">
        <f t="shared" si="0"/>
        <v>44</v>
      </c>
      <c r="C10" s="3">
        <v>7</v>
      </c>
      <c r="D10" s="3">
        <v>9</v>
      </c>
    </row>
    <row r="11" spans="1:10" x14ac:dyDescent="0.2">
      <c r="A11" s="5">
        <v>42414</v>
      </c>
      <c r="B11" s="4">
        <f t="shared" si="0"/>
        <v>45</v>
      </c>
      <c r="C11" s="3">
        <v>1</v>
      </c>
      <c r="D11" s="3">
        <v>8</v>
      </c>
    </row>
    <row r="12" spans="1:10" x14ac:dyDescent="0.2">
      <c r="A12" s="5">
        <v>42417</v>
      </c>
      <c r="B12" s="4">
        <f t="shared" si="0"/>
        <v>48</v>
      </c>
      <c r="C12" s="3">
        <v>3</v>
      </c>
      <c r="D12" s="3">
        <v>11</v>
      </c>
    </row>
    <row r="13" spans="1:10" x14ac:dyDescent="0.2">
      <c r="A13" s="5">
        <v>42431</v>
      </c>
      <c r="B13" s="4">
        <f t="shared" si="0"/>
        <v>62</v>
      </c>
      <c r="C13" s="3">
        <v>14</v>
      </c>
      <c r="D13" s="3">
        <v>7</v>
      </c>
    </row>
    <row r="14" spans="1:10" x14ac:dyDescent="0.2">
      <c r="A14" s="5">
        <v>42432</v>
      </c>
      <c r="B14" s="4">
        <f t="shared" si="0"/>
        <v>63</v>
      </c>
      <c r="C14" s="3">
        <v>1</v>
      </c>
      <c r="D14" s="3">
        <v>6</v>
      </c>
    </row>
    <row r="15" spans="1:10" x14ac:dyDescent="0.2">
      <c r="A15" s="5">
        <v>42438</v>
      </c>
      <c r="B15" s="4">
        <f t="shared" si="0"/>
        <v>69</v>
      </c>
      <c r="C15" s="3">
        <v>6</v>
      </c>
      <c r="D15" s="3">
        <v>5</v>
      </c>
    </row>
    <row r="16" spans="1:10" x14ac:dyDescent="0.2">
      <c r="A16" s="5">
        <v>42443</v>
      </c>
      <c r="B16" s="4">
        <f t="shared" si="0"/>
        <v>74</v>
      </c>
      <c r="C16" s="3">
        <v>5</v>
      </c>
      <c r="D16" s="3">
        <v>11</v>
      </c>
    </row>
    <row r="17" spans="1:4" x14ac:dyDescent="0.2">
      <c r="A17" s="5">
        <v>42448</v>
      </c>
      <c r="B17" s="4">
        <f t="shared" si="0"/>
        <v>79</v>
      </c>
      <c r="C17" s="3">
        <v>5</v>
      </c>
      <c r="D17" s="3">
        <v>8</v>
      </c>
    </row>
    <row r="18" spans="1:4" x14ac:dyDescent="0.2">
      <c r="A18" s="5">
        <v>42451</v>
      </c>
      <c r="B18" s="4">
        <f t="shared" si="0"/>
        <v>82</v>
      </c>
      <c r="C18" s="3">
        <v>3</v>
      </c>
      <c r="D18" s="3">
        <v>9</v>
      </c>
    </row>
    <row r="19" spans="1:4" x14ac:dyDescent="0.2">
      <c r="A19" s="5">
        <v>42452</v>
      </c>
      <c r="B19" s="4">
        <f t="shared" si="0"/>
        <v>83</v>
      </c>
      <c r="C19" s="3">
        <v>1</v>
      </c>
      <c r="D19" s="3">
        <v>9</v>
      </c>
    </row>
    <row r="20" spans="1:4" x14ac:dyDescent="0.2">
      <c r="A20" s="5">
        <v>42454</v>
      </c>
      <c r="B20" s="4">
        <f t="shared" si="0"/>
        <v>85</v>
      </c>
      <c r="C20" s="3">
        <v>2</v>
      </c>
      <c r="D20" s="3">
        <v>9</v>
      </c>
    </row>
    <row r="21" spans="1:4" x14ac:dyDescent="0.2">
      <c r="A21" s="5">
        <v>42459</v>
      </c>
      <c r="B21" s="4">
        <f t="shared" si="0"/>
        <v>90</v>
      </c>
      <c r="C21" s="3">
        <v>5</v>
      </c>
      <c r="D21" s="3">
        <v>6</v>
      </c>
    </row>
    <row r="22" spans="1:4" x14ac:dyDescent="0.2">
      <c r="A22" s="5">
        <v>42464</v>
      </c>
      <c r="B22" s="4">
        <f t="shared" si="0"/>
        <v>95</v>
      </c>
      <c r="C22" s="3">
        <v>5</v>
      </c>
      <c r="D22" s="3">
        <v>9</v>
      </c>
    </row>
    <row r="23" spans="1:4" x14ac:dyDescent="0.2">
      <c r="A23" s="5">
        <v>42465</v>
      </c>
      <c r="B23" s="4">
        <f t="shared" si="0"/>
        <v>96</v>
      </c>
      <c r="C23" s="3">
        <v>1</v>
      </c>
      <c r="D23" s="3">
        <v>5</v>
      </c>
    </row>
    <row r="24" spans="1:4" x14ac:dyDescent="0.2">
      <c r="A24" s="5">
        <v>42474</v>
      </c>
      <c r="B24" s="4">
        <f t="shared" si="0"/>
        <v>105</v>
      </c>
      <c r="C24" s="3">
        <v>9</v>
      </c>
      <c r="D24" s="3">
        <v>6</v>
      </c>
    </row>
    <row r="25" spans="1:4" x14ac:dyDescent="0.2">
      <c r="A25" s="5">
        <v>42477</v>
      </c>
      <c r="B25" s="4">
        <f t="shared" si="0"/>
        <v>108</v>
      </c>
      <c r="C25" s="3">
        <v>3</v>
      </c>
      <c r="D25" s="3">
        <v>10</v>
      </c>
    </row>
    <row r="26" spans="1:4" x14ac:dyDescent="0.2">
      <c r="A26" s="5">
        <v>42481</v>
      </c>
      <c r="B26" s="4">
        <f t="shared" si="0"/>
        <v>112</v>
      </c>
      <c r="C26" s="3">
        <v>4</v>
      </c>
      <c r="D26" s="3">
        <v>12</v>
      </c>
    </row>
    <row r="27" spans="1:4" x14ac:dyDescent="0.2">
      <c r="A27" s="5">
        <v>42485</v>
      </c>
      <c r="B27" s="4">
        <f t="shared" si="0"/>
        <v>116</v>
      </c>
      <c r="C27" s="3">
        <v>4</v>
      </c>
      <c r="D27" s="3">
        <v>11</v>
      </c>
    </row>
    <row r="28" spans="1:4" x14ac:dyDescent="0.2">
      <c r="A28" s="5">
        <v>42487</v>
      </c>
      <c r="B28" s="4">
        <f t="shared" si="0"/>
        <v>118</v>
      </c>
      <c r="C28" s="3">
        <v>2</v>
      </c>
      <c r="D28" s="3">
        <v>4</v>
      </c>
    </row>
    <row r="29" spans="1:4" x14ac:dyDescent="0.2">
      <c r="A29" s="5">
        <v>42493</v>
      </c>
      <c r="B29" s="4">
        <f t="shared" si="0"/>
        <v>124</v>
      </c>
      <c r="C29" s="3">
        <v>6</v>
      </c>
      <c r="D29" s="3">
        <v>4</v>
      </c>
    </row>
    <row r="30" spans="1:4" x14ac:dyDescent="0.2">
      <c r="A30" s="5">
        <v>42495</v>
      </c>
      <c r="B30" s="4">
        <f t="shared" si="0"/>
        <v>126</v>
      </c>
      <c r="C30" s="3">
        <v>2</v>
      </c>
      <c r="D30" s="3">
        <v>13</v>
      </c>
    </row>
    <row r="31" spans="1:4" x14ac:dyDescent="0.2">
      <c r="A31" s="5">
        <v>42507</v>
      </c>
      <c r="B31" s="4">
        <f t="shared" si="0"/>
        <v>138</v>
      </c>
      <c r="C31" s="3">
        <v>12</v>
      </c>
      <c r="D31" s="3">
        <v>10</v>
      </c>
    </row>
    <row r="32" spans="1:4" x14ac:dyDescent="0.2">
      <c r="A32" s="5">
        <v>42511</v>
      </c>
      <c r="B32" s="4">
        <f t="shared" si="0"/>
        <v>142</v>
      </c>
      <c r="C32" s="3">
        <v>4</v>
      </c>
      <c r="D32" s="3">
        <v>10</v>
      </c>
    </row>
    <row r="33" spans="1:4" x14ac:dyDescent="0.2">
      <c r="A33" s="5">
        <v>42527</v>
      </c>
      <c r="B33" s="4">
        <f t="shared" si="0"/>
        <v>158</v>
      </c>
      <c r="C33" s="3">
        <v>16</v>
      </c>
      <c r="D33" s="3">
        <v>12</v>
      </c>
    </row>
    <row r="34" spans="1:4" x14ac:dyDescent="0.2">
      <c r="A34" s="5">
        <v>42527</v>
      </c>
      <c r="B34" s="4">
        <f t="shared" si="0"/>
        <v>158</v>
      </c>
      <c r="C34" s="3">
        <v>0</v>
      </c>
      <c r="D34" s="3">
        <v>5</v>
      </c>
    </row>
    <row r="35" spans="1:4" x14ac:dyDescent="0.2">
      <c r="A35" s="5">
        <v>42528</v>
      </c>
      <c r="B35" s="4">
        <f t="shared" si="0"/>
        <v>159</v>
      </c>
      <c r="C35" s="3">
        <v>1</v>
      </c>
      <c r="D35" s="3">
        <v>13</v>
      </c>
    </row>
    <row r="36" spans="1:4" x14ac:dyDescent="0.2">
      <c r="A36" s="5">
        <v>42543</v>
      </c>
      <c r="B36" s="4">
        <f t="shared" si="0"/>
        <v>174</v>
      </c>
      <c r="C36" s="3">
        <v>15</v>
      </c>
      <c r="D36" s="3">
        <v>10</v>
      </c>
    </row>
    <row r="37" spans="1:4" x14ac:dyDescent="0.2">
      <c r="A37" s="5">
        <v>42546</v>
      </c>
      <c r="B37" s="4">
        <f t="shared" si="0"/>
        <v>177</v>
      </c>
      <c r="C37" s="3">
        <v>3</v>
      </c>
      <c r="D37" s="3">
        <v>10</v>
      </c>
    </row>
    <row r="38" spans="1:4" x14ac:dyDescent="0.2">
      <c r="A38" s="5">
        <v>42549</v>
      </c>
      <c r="B38" s="4">
        <f t="shared" si="0"/>
        <v>180</v>
      </c>
      <c r="C38" s="3">
        <v>3</v>
      </c>
      <c r="D38" s="3">
        <v>9</v>
      </c>
    </row>
    <row r="39" spans="1:4" x14ac:dyDescent="0.2">
      <c r="A39" s="5">
        <v>42551</v>
      </c>
      <c r="B39" s="4">
        <f t="shared" si="0"/>
        <v>182</v>
      </c>
      <c r="C39" s="3">
        <v>2</v>
      </c>
      <c r="D39" s="3">
        <v>7</v>
      </c>
    </row>
    <row r="40" spans="1:4" x14ac:dyDescent="0.2">
      <c r="A40" s="5">
        <v>42554</v>
      </c>
      <c r="B40" s="4">
        <f t="shared" si="0"/>
        <v>185</v>
      </c>
      <c r="C40" s="3">
        <v>3</v>
      </c>
      <c r="D40" s="3">
        <v>12</v>
      </c>
    </row>
    <row r="41" spans="1:4" x14ac:dyDescent="0.2">
      <c r="A41" s="5">
        <v>42560</v>
      </c>
      <c r="B41" s="4">
        <f t="shared" si="0"/>
        <v>191</v>
      </c>
      <c r="C41" s="3">
        <v>6</v>
      </c>
      <c r="D41" s="3">
        <v>13</v>
      </c>
    </row>
    <row r="42" spans="1:4" x14ac:dyDescent="0.2">
      <c r="A42" s="5">
        <v>42563</v>
      </c>
      <c r="B42" s="4">
        <f t="shared" si="0"/>
        <v>194</v>
      </c>
      <c r="C42" s="3">
        <v>3</v>
      </c>
      <c r="D42" s="3">
        <v>6</v>
      </c>
    </row>
    <row r="43" spans="1:4" x14ac:dyDescent="0.2">
      <c r="A43" s="5">
        <v>42566</v>
      </c>
      <c r="B43" s="4">
        <f t="shared" si="0"/>
        <v>197</v>
      </c>
      <c r="C43" s="3">
        <v>3</v>
      </c>
      <c r="D43" s="3">
        <v>6</v>
      </c>
    </row>
    <row r="44" spans="1:4" x14ac:dyDescent="0.2">
      <c r="A44" s="5">
        <v>42568</v>
      </c>
      <c r="B44" s="4">
        <f t="shared" si="0"/>
        <v>199</v>
      </c>
      <c r="C44" s="3">
        <v>2</v>
      </c>
      <c r="D44" s="3">
        <v>7</v>
      </c>
    </row>
    <row r="45" spans="1:4" x14ac:dyDescent="0.2">
      <c r="A45" s="5">
        <v>42569</v>
      </c>
      <c r="B45" s="4">
        <f t="shared" si="0"/>
        <v>200</v>
      </c>
      <c r="C45" s="3">
        <v>1</v>
      </c>
      <c r="D45" s="3">
        <v>11</v>
      </c>
    </row>
    <row r="46" spans="1:4" x14ac:dyDescent="0.2">
      <c r="A46" s="5">
        <v>42577</v>
      </c>
      <c r="B46" s="4">
        <f t="shared" si="0"/>
        <v>208</v>
      </c>
      <c r="C46" s="3">
        <v>8</v>
      </c>
      <c r="D46" s="3">
        <v>8</v>
      </c>
    </row>
    <row r="47" spans="1:4" x14ac:dyDescent="0.2">
      <c r="A47" s="5">
        <v>42578</v>
      </c>
      <c r="B47" s="4">
        <f t="shared" si="0"/>
        <v>209</v>
      </c>
      <c r="C47" s="3">
        <v>1</v>
      </c>
      <c r="D47" s="3">
        <v>5</v>
      </c>
    </row>
    <row r="48" spans="1:4" x14ac:dyDescent="0.2">
      <c r="A48" s="5">
        <v>42579</v>
      </c>
      <c r="B48" s="4">
        <f t="shared" si="0"/>
        <v>210</v>
      </c>
      <c r="C48" s="3">
        <v>1</v>
      </c>
      <c r="D48" s="3">
        <v>8</v>
      </c>
    </row>
    <row r="49" spans="1:4" x14ac:dyDescent="0.2">
      <c r="A49" s="5">
        <v>42580</v>
      </c>
      <c r="B49" s="4">
        <f t="shared" si="0"/>
        <v>211</v>
      </c>
      <c r="C49" s="3">
        <v>1</v>
      </c>
      <c r="D49" s="3">
        <v>13</v>
      </c>
    </row>
    <row r="50" spans="1:4" x14ac:dyDescent="0.2">
      <c r="A50" s="5">
        <v>42583</v>
      </c>
      <c r="B50" s="4">
        <f t="shared" si="0"/>
        <v>214</v>
      </c>
      <c r="C50" s="3">
        <v>3</v>
      </c>
      <c r="D50" s="3">
        <v>8</v>
      </c>
    </row>
    <row r="51" spans="1:4" x14ac:dyDescent="0.2">
      <c r="A51" s="5">
        <v>42584</v>
      </c>
      <c r="B51" s="4">
        <f t="shared" si="0"/>
        <v>215</v>
      </c>
      <c r="C51" s="3">
        <v>1</v>
      </c>
      <c r="D51" s="3">
        <v>9</v>
      </c>
    </row>
    <row r="52" spans="1:4" x14ac:dyDescent="0.2">
      <c r="A52" s="5">
        <v>42593</v>
      </c>
      <c r="B52" s="4">
        <f t="shared" si="0"/>
        <v>224</v>
      </c>
      <c r="C52" s="3">
        <v>9</v>
      </c>
      <c r="D52" s="3">
        <v>8</v>
      </c>
    </row>
    <row r="53" spans="1:4" x14ac:dyDescent="0.2">
      <c r="A53" s="5">
        <v>42603</v>
      </c>
      <c r="B53" s="4">
        <f t="shared" si="0"/>
        <v>234</v>
      </c>
      <c r="C53" s="3">
        <v>10</v>
      </c>
      <c r="D53" s="3">
        <v>8</v>
      </c>
    </row>
    <row r="54" spans="1:4" x14ac:dyDescent="0.2">
      <c r="A54" s="5">
        <v>42608</v>
      </c>
      <c r="B54" s="4">
        <f t="shared" si="0"/>
        <v>239</v>
      </c>
      <c r="C54" s="3">
        <v>5</v>
      </c>
      <c r="D54" s="3">
        <v>5</v>
      </c>
    </row>
    <row r="55" spans="1:4" x14ac:dyDescent="0.2">
      <c r="A55" s="5">
        <v>42615</v>
      </c>
      <c r="B55" s="4">
        <f t="shared" si="0"/>
        <v>246</v>
      </c>
      <c r="C55" s="3">
        <v>7</v>
      </c>
      <c r="D55" s="3">
        <v>10</v>
      </c>
    </row>
    <row r="56" spans="1:4" x14ac:dyDescent="0.2">
      <c r="A56" s="5">
        <v>42636</v>
      </c>
      <c r="B56" s="4">
        <f t="shared" si="0"/>
        <v>267</v>
      </c>
      <c r="C56" s="3">
        <v>21</v>
      </c>
      <c r="D56" s="3">
        <v>10</v>
      </c>
    </row>
    <row r="57" spans="1:4" x14ac:dyDescent="0.2">
      <c r="A57" s="5">
        <v>42644</v>
      </c>
      <c r="B57" s="4">
        <f t="shared" si="0"/>
        <v>275</v>
      </c>
      <c r="C57" s="3">
        <v>8</v>
      </c>
      <c r="D57" s="3">
        <v>10</v>
      </c>
    </row>
    <row r="58" spans="1:4" x14ac:dyDescent="0.2">
      <c r="A58" s="5">
        <v>42644</v>
      </c>
      <c r="B58" s="4">
        <f t="shared" si="0"/>
        <v>275</v>
      </c>
      <c r="C58" s="3">
        <v>0</v>
      </c>
      <c r="D58" s="3">
        <v>5</v>
      </c>
    </row>
    <row r="59" spans="1:4" x14ac:dyDescent="0.2">
      <c r="A59" s="5">
        <v>42651</v>
      </c>
      <c r="B59" s="4">
        <f t="shared" si="0"/>
        <v>282</v>
      </c>
      <c r="C59" s="3">
        <v>7</v>
      </c>
      <c r="D59" s="3">
        <v>6</v>
      </c>
    </row>
    <row r="60" spans="1:4" x14ac:dyDescent="0.2">
      <c r="A60" s="5">
        <v>42662</v>
      </c>
      <c r="B60" s="4">
        <f t="shared" si="0"/>
        <v>293</v>
      </c>
      <c r="C60" s="3">
        <v>11</v>
      </c>
      <c r="D60" s="3">
        <v>9</v>
      </c>
    </row>
    <row r="61" spans="1:4" x14ac:dyDescent="0.2">
      <c r="A61" s="5">
        <v>42671</v>
      </c>
      <c r="B61" s="4">
        <f t="shared" si="0"/>
        <v>302</v>
      </c>
      <c r="C61" s="3">
        <v>9</v>
      </c>
      <c r="D61" s="3">
        <v>10</v>
      </c>
    </row>
    <row r="62" spans="1:4" x14ac:dyDescent="0.2">
      <c r="A62" s="5">
        <v>42680</v>
      </c>
      <c r="B62" s="4">
        <f t="shared" si="0"/>
        <v>311</v>
      </c>
      <c r="C62" s="3">
        <v>9</v>
      </c>
      <c r="D62" s="3">
        <v>10</v>
      </c>
    </row>
    <row r="63" spans="1:4" x14ac:dyDescent="0.2">
      <c r="A63" s="5">
        <v>42682</v>
      </c>
      <c r="B63" s="4">
        <f t="shared" si="0"/>
        <v>313</v>
      </c>
      <c r="C63" s="3">
        <v>2</v>
      </c>
      <c r="D63" s="3">
        <v>12</v>
      </c>
    </row>
    <row r="64" spans="1:4" x14ac:dyDescent="0.2">
      <c r="A64" s="5">
        <v>42696</v>
      </c>
      <c r="B64" s="4">
        <f t="shared" si="0"/>
        <v>327</v>
      </c>
      <c r="C64" s="3">
        <v>14</v>
      </c>
      <c r="D64" s="3">
        <v>7</v>
      </c>
    </row>
    <row r="65" spans="1:4" x14ac:dyDescent="0.2">
      <c r="A65" s="5">
        <v>42702</v>
      </c>
      <c r="B65" s="4">
        <f t="shared" si="0"/>
        <v>333</v>
      </c>
      <c r="C65" s="3">
        <v>6</v>
      </c>
      <c r="D65" s="3">
        <v>5</v>
      </c>
    </row>
    <row r="66" spans="1:4" x14ac:dyDescent="0.2">
      <c r="A66" s="5">
        <v>42704</v>
      </c>
      <c r="B66" s="4">
        <f t="shared" si="0"/>
        <v>335</v>
      </c>
      <c r="C66" s="3">
        <v>2</v>
      </c>
      <c r="D66" s="3">
        <v>9</v>
      </c>
    </row>
    <row r="67" spans="1:4" x14ac:dyDescent="0.2">
      <c r="A67" s="5">
        <v>42712</v>
      </c>
      <c r="B67" s="4">
        <f t="shared" si="0"/>
        <v>343</v>
      </c>
      <c r="C67" s="3">
        <v>8</v>
      </c>
      <c r="D67" s="3">
        <v>6</v>
      </c>
    </row>
    <row r="68" spans="1:4" x14ac:dyDescent="0.2">
      <c r="A68" s="5">
        <v>42722</v>
      </c>
      <c r="B68" s="4">
        <f t="shared" ref="B68:B131" si="1">_xlfn.DAYS(A68,$A$2)+1</f>
        <v>353</v>
      </c>
      <c r="C68" s="3">
        <v>10</v>
      </c>
      <c r="D68" s="3">
        <v>9</v>
      </c>
    </row>
    <row r="69" spans="1:4" x14ac:dyDescent="0.2">
      <c r="A69" s="5">
        <v>42722</v>
      </c>
      <c r="B69" s="4">
        <f t="shared" si="1"/>
        <v>353</v>
      </c>
      <c r="C69" s="3">
        <v>0</v>
      </c>
      <c r="D69" s="3">
        <v>8</v>
      </c>
    </row>
    <row r="70" spans="1:4" x14ac:dyDescent="0.2">
      <c r="A70" s="5">
        <v>42730</v>
      </c>
      <c r="B70" s="4">
        <f t="shared" si="1"/>
        <v>361</v>
      </c>
      <c r="C70" s="3">
        <v>8</v>
      </c>
      <c r="D70" s="3">
        <v>8</v>
      </c>
    </row>
    <row r="71" spans="1:4" x14ac:dyDescent="0.2">
      <c r="A71" s="5">
        <v>42763</v>
      </c>
      <c r="B71" s="4">
        <f t="shared" si="1"/>
        <v>394</v>
      </c>
      <c r="C71" s="3">
        <v>33</v>
      </c>
      <c r="D71" s="3">
        <v>6</v>
      </c>
    </row>
    <row r="72" spans="1:4" x14ac:dyDescent="0.2">
      <c r="A72" s="5">
        <v>42763</v>
      </c>
      <c r="B72" s="4">
        <f t="shared" si="1"/>
        <v>394</v>
      </c>
      <c r="C72" s="3">
        <v>0</v>
      </c>
      <c r="D72" s="3">
        <v>8</v>
      </c>
    </row>
    <row r="73" spans="1:4" x14ac:dyDescent="0.2">
      <c r="A73" s="5">
        <v>42768</v>
      </c>
      <c r="B73" s="4">
        <f t="shared" si="1"/>
        <v>399</v>
      </c>
      <c r="C73" s="3">
        <v>5</v>
      </c>
      <c r="D73" s="3">
        <v>10</v>
      </c>
    </row>
    <row r="74" spans="1:4" x14ac:dyDescent="0.2">
      <c r="A74" s="5">
        <v>42768</v>
      </c>
      <c r="B74" s="4">
        <f t="shared" si="1"/>
        <v>399</v>
      </c>
      <c r="C74" s="3">
        <v>0</v>
      </c>
      <c r="D74" s="3">
        <v>11</v>
      </c>
    </row>
    <row r="75" spans="1:4" x14ac:dyDescent="0.2">
      <c r="A75" s="5">
        <v>42769</v>
      </c>
      <c r="B75" s="4">
        <f t="shared" si="1"/>
        <v>400</v>
      </c>
      <c r="C75" s="3">
        <v>1</v>
      </c>
      <c r="D75" s="3">
        <v>7</v>
      </c>
    </row>
    <row r="76" spans="1:4" x14ac:dyDescent="0.2">
      <c r="A76" s="5">
        <v>42775</v>
      </c>
      <c r="B76" s="4">
        <f t="shared" si="1"/>
        <v>406</v>
      </c>
      <c r="C76" s="3">
        <v>6</v>
      </c>
      <c r="D76" s="3">
        <v>13</v>
      </c>
    </row>
    <row r="77" spans="1:4" x14ac:dyDescent="0.2">
      <c r="A77" s="5">
        <v>42785</v>
      </c>
      <c r="B77" s="4">
        <f t="shared" si="1"/>
        <v>416</v>
      </c>
      <c r="C77" s="3">
        <v>10</v>
      </c>
      <c r="D77" s="3">
        <v>11</v>
      </c>
    </row>
    <row r="78" spans="1:4" x14ac:dyDescent="0.2">
      <c r="A78" s="5">
        <v>42788</v>
      </c>
      <c r="B78" s="4">
        <f t="shared" si="1"/>
        <v>419</v>
      </c>
      <c r="C78" s="3">
        <v>3</v>
      </c>
      <c r="D78" s="3">
        <v>11</v>
      </c>
    </row>
    <row r="79" spans="1:4" x14ac:dyDescent="0.2">
      <c r="A79" s="5">
        <v>42800</v>
      </c>
      <c r="B79" s="4">
        <f t="shared" si="1"/>
        <v>431</v>
      </c>
      <c r="C79" s="3">
        <v>12</v>
      </c>
      <c r="D79" s="3">
        <v>6</v>
      </c>
    </row>
    <row r="80" spans="1:4" x14ac:dyDescent="0.2">
      <c r="A80" s="5">
        <v>42801</v>
      </c>
      <c r="B80" s="4">
        <f t="shared" si="1"/>
        <v>432</v>
      </c>
      <c r="C80" s="3">
        <v>1</v>
      </c>
      <c r="D80" s="3">
        <v>10</v>
      </c>
    </row>
    <row r="81" spans="1:4" x14ac:dyDescent="0.2">
      <c r="A81" s="5">
        <v>42804</v>
      </c>
      <c r="B81" s="4">
        <f t="shared" si="1"/>
        <v>435</v>
      </c>
      <c r="C81" s="3">
        <v>3</v>
      </c>
      <c r="D81" s="3">
        <v>9</v>
      </c>
    </row>
    <row r="82" spans="1:4" x14ac:dyDescent="0.2">
      <c r="A82" s="5">
        <v>42806</v>
      </c>
      <c r="B82" s="4">
        <f t="shared" si="1"/>
        <v>437</v>
      </c>
      <c r="C82" s="3">
        <v>2</v>
      </c>
      <c r="D82" s="3">
        <v>7</v>
      </c>
    </row>
    <row r="83" spans="1:4" x14ac:dyDescent="0.2">
      <c r="A83" s="5">
        <v>42811</v>
      </c>
      <c r="B83" s="4">
        <f t="shared" si="1"/>
        <v>442</v>
      </c>
      <c r="C83" s="3">
        <v>5</v>
      </c>
      <c r="D83" s="3">
        <v>9</v>
      </c>
    </row>
    <row r="84" spans="1:4" x14ac:dyDescent="0.2">
      <c r="A84" s="5">
        <v>42812</v>
      </c>
      <c r="B84" s="4">
        <f t="shared" si="1"/>
        <v>443</v>
      </c>
      <c r="C84" s="3">
        <v>1</v>
      </c>
      <c r="D84" s="3">
        <v>10</v>
      </c>
    </row>
    <row r="85" spans="1:4" x14ac:dyDescent="0.2">
      <c r="A85" s="5">
        <v>42831</v>
      </c>
      <c r="B85" s="4">
        <f t="shared" si="1"/>
        <v>462</v>
      </c>
      <c r="C85" s="3">
        <v>19</v>
      </c>
      <c r="D85" s="3">
        <v>6</v>
      </c>
    </row>
    <row r="86" spans="1:4" x14ac:dyDescent="0.2">
      <c r="A86" s="5">
        <v>42833</v>
      </c>
      <c r="B86" s="4">
        <f t="shared" si="1"/>
        <v>464</v>
      </c>
      <c r="C86" s="3">
        <v>2</v>
      </c>
      <c r="D86" s="3">
        <v>8</v>
      </c>
    </row>
    <row r="87" spans="1:4" x14ac:dyDescent="0.2">
      <c r="A87" s="5">
        <v>42840</v>
      </c>
      <c r="B87" s="4">
        <f t="shared" si="1"/>
        <v>471</v>
      </c>
      <c r="C87" s="3">
        <v>7</v>
      </c>
      <c r="D87" s="3">
        <v>10</v>
      </c>
    </row>
    <row r="88" spans="1:4" x14ac:dyDescent="0.2">
      <c r="A88" s="5">
        <v>42841</v>
      </c>
      <c r="B88" s="4">
        <f t="shared" si="1"/>
        <v>472</v>
      </c>
      <c r="C88" s="3">
        <v>1</v>
      </c>
      <c r="D88" s="3">
        <v>10</v>
      </c>
    </row>
    <row r="89" spans="1:4" x14ac:dyDescent="0.2">
      <c r="A89" s="5">
        <v>42842</v>
      </c>
      <c r="B89" s="4">
        <f t="shared" si="1"/>
        <v>473</v>
      </c>
      <c r="C89" s="3">
        <v>1</v>
      </c>
      <c r="D89" s="3">
        <v>13</v>
      </c>
    </row>
    <row r="90" spans="1:4" x14ac:dyDescent="0.2">
      <c r="A90" s="5">
        <v>42849</v>
      </c>
      <c r="B90" s="4">
        <f t="shared" si="1"/>
        <v>480</v>
      </c>
      <c r="C90" s="3">
        <v>7</v>
      </c>
      <c r="D90" s="3">
        <v>7</v>
      </c>
    </row>
    <row r="91" spans="1:4" x14ac:dyDescent="0.2">
      <c r="A91" s="5">
        <v>42851</v>
      </c>
      <c r="B91" s="4">
        <f t="shared" si="1"/>
        <v>482</v>
      </c>
      <c r="C91" s="3">
        <v>2</v>
      </c>
      <c r="D91" s="3">
        <v>9</v>
      </c>
    </row>
    <row r="92" spans="1:4" x14ac:dyDescent="0.2">
      <c r="A92" s="5">
        <v>42858</v>
      </c>
      <c r="B92" s="4">
        <f t="shared" si="1"/>
        <v>489</v>
      </c>
      <c r="C92" s="3">
        <v>7</v>
      </c>
      <c r="D92" s="3">
        <v>9</v>
      </c>
    </row>
    <row r="93" spans="1:4" x14ac:dyDescent="0.2">
      <c r="A93" s="5">
        <v>42863</v>
      </c>
      <c r="B93" s="4">
        <f t="shared" si="1"/>
        <v>494</v>
      </c>
      <c r="C93" s="3">
        <v>5</v>
      </c>
      <c r="D93" s="3">
        <v>11</v>
      </c>
    </row>
    <row r="94" spans="1:4" x14ac:dyDescent="0.2">
      <c r="A94" s="5">
        <v>42865</v>
      </c>
      <c r="B94" s="4">
        <f t="shared" si="1"/>
        <v>496</v>
      </c>
      <c r="C94" s="3">
        <v>2</v>
      </c>
      <c r="D94" s="3">
        <v>13</v>
      </c>
    </row>
    <row r="95" spans="1:4" x14ac:dyDescent="0.2">
      <c r="A95" s="5">
        <v>42873</v>
      </c>
      <c r="B95" s="4">
        <f t="shared" si="1"/>
        <v>504</v>
      </c>
      <c r="C95" s="3">
        <v>8</v>
      </c>
      <c r="D95" s="3">
        <v>10</v>
      </c>
    </row>
    <row r="96" spans="1:4" x14ac:dyDescent="0.2">
      <c r="A96" s="5">
        <v>42882</v>
      </c>
      <c r="B96" s="4">
        <f t="shared" si="1"/>
        <v>513</v>
      </c>
      <c r="C96" s="3">
        <v>9</v>
      </c>
      <c r="D96" s="3">
        <v>4</v>
      </c>
    </row>
    <row r="97" spans="1:4" x14ac:dyDescent="0.2">
      <c r="A97" s="5">
        <v>42883</v>
      </c>
      <c r="B97" s="4">
        <f t="shared" si="1"/>
        <v>514</v>
      </c>
      <c r="C97" s="3">
        <v>1</v>
      </c>
      <c r="D97" s="3">
        <v>10</v>
      </c>
    </row>
    <row r="98" spans="1:4" x14ac:dyDescent="0.2">
      <c r="A98" s="5">
        <v>42886</v>
      </c>
      <c r="B98" s="4">
        <f t="shared" si="1"/>
        <v>517</v>
      </c>
      <c r="C98" s="3">
        <v>3</v>
      </c>
      <c r="D98" s="3">
        <v>9</v>
      </c>
    </row>
    <row r="99" spans="1:4" x14ac:dyDescent="0.2">
      <c r="A99" s="5">
        <v>42891</v>
      </c>
      <c r="B99" s="4">
        <f t="shared" si="1"/>
        <v>522</v>
      </c>
      <c r="C99" s="3">
        <v>5</v>
      </c>
      <c r="D99" s="3">
        <v>6</v>
      </c>
    </row>
    <row r="100" spans="1:4" x14ac:dyDescent="0.2">
      <c r="A100" s="5">
        <v>42900</v>
      </c>
      <c r="B100" s="4">
        <f t="shared" si="1"/>
        <v>531</v>
      </c>
      <c r="C100" s="3">
        <v>9</v>
      </c>
      <c r="D100" s="3">
        <v>7</v>
      </c>
    </row>
    <row r="101" spans="1:4" x14ac:dyDescent="0.2">
      <c r="A101" s="5">
        <v>42906</v>
      </c>
      <c r="B101" s="4">
        <f t="shared" si="1"/>
        <v>537</v>
      </c>
      <c r="C101" s="3">
        <v>6</v>
      </c>
      <c r="D101" s="3">
        <v>5</v>
      </c>
    </row>
    <row r="102" spans="1:4" x14ac:dyDescent="0.2">
      <c r="A102" s="5">
        <v>42908</v>
      </c>
      <c r="B102" s="4">
        <f t="shared" si="1"/>
        <v>539</v>
      </c>
      <c r="C102" s="3">
        <v>2</v>
      </c>
      <c r="D102" s="3">
        <v>5</v>
      </c>
    </row>
    <row r="103" spans="1:4" x14ac:dyDescent="0.2">
      <c r="A103" s="5">
        <v>42911</v>
      </c>
      <c r="B103" s="4">
        <f t="shared" si="1"/>
        <v>542</v>
      </c>
      <c r="C103" s="3">
        <v>3</v>
      </c>
      <c r="D103" s="3">
        <v>4</v>
      </c>
    </row>
    <row r="104" spans="1:4" x14ac:dyDescent="0.2">
      <c r="A104" s="5">
        <v>42919</v>
      </c>
      <c r="B104" s="4">
        <f t="shared" si="1"/>
        <v>550</v>
      </c>
      <c r="C104" s="3">
        <v>8</v>
      </c>
      <c r="D104" s="3">
        <v>12</v>
      </c>
    </row>
    <row r="105" spans="1:4" x14ac:dyDescent="0.2">
      <c r="A105" s="5">
        <v>42929</v>
      </c>
      <c r="B105" s="4">
        <f t="shared" si="1"/>
        <v>560</v>
      </c>
      <c r="C105" s="3">
        <v>10</v>
      </c>
      <c r="D105" s="3">
        <v>4</v>
      </c>
    </row>
    <row r="106" spans="1:4" x14ac:dyDescent="0.2">
      <c r="A106" s="5">
        <v>42935</v>
      </c>
      <c r="B106" s="4">
        <f t="shared" si="1"/>
        <v>566</v>
      </c>
      <c r="C106" s="3">
        <v>6</v>
      </c>
      <c r="D106" s="3">
        <v>8</v>
      </c>
    </row>
    <row r="107" spans="1:4" x14ac:dyDescent="0.2">
      <c r="A107" s="5">
        <v>42949</v>
      </c>
      <c r="B107" s="4">
        <f t="shared" si="1"/>
        <v>580</v>
      </c>
      <c r="C107" s="3">
        <v>14</v>
      </c>
      <c r="D107" s="3">
        <v>11</v>
      </c>
    </row>
    <row r="108" spans="1:4" x14ac:dyDescent="0.2">
      <c r="A108" s="5">
        <v>42949</v>
      </c>
      <c r="B108" s="4">
        <f t="shared" si="1"/>
        <v>580</v>
      </c>
      <c r="C108" s="3">
        <v>0</v>
      </c>
      <c r="D108" s="3">
        <v>7</v>
      </c>
    </row>
    <row r="109" spans="1:4" x14ac:dyDescent="0.2">
      <c r="A109" s="5">
        <v>42951</v>
      </c>
      <c r="B109" s="4">
        <f t="shared" si="1"/>
        <v>582</v>
      </c>
      <c r="C109" s="3">
        <v>2</v>
      </c>
      <c r="D109" s="3">
        <v>13</v>
      </c>
    </row>
    <row r="110" spans="1:4" x14ac:dyDescent="0.2">
      <c r="A110" s="5">
        <v>42954</v>
      </c>
      <c r="B110" s="4">
        <f t="shared" si="1"/>
        <v>585</v>
      </c>
      <c r="C110" s="3">
        <v>3</v>
      </c>
      <c r="D110" s="3">
        <v>13</v>
      </c>
    </row>
    <row r="111" spans="1:4" x14ac:dyDescent="0.2">
      <c r="A111" s="5">
        <v>42955</v>
      </c>
      <c r="B111" s="4">
        <f t="shared" si="1"/>
        <v>586</v>
      </c>
      <c r="C111" s="3">
        <v>1</v>
      </c>
      <c r="D111" s="3">
        <v>5</v>
      </c>
    </row>
    <row r="112" spans="1:4" x14ac:dyDescent="0.2">
      <c r="A112" s="5">
        <v>42955</v>
      </c>
      <c r="B112" s="4">
        <f t="shared" si="1"/>
        <v>586</v>
      </c>
      <c r="C112" s="3">
        <v>0</v>
      </c>
      <c r="D112" s="3">
        <v>5</v>
      </c>
    </row>
    <row r="113" spans="1:4" x14ac:dyDescent="0.2">
      <c r="A113" s="5">
        <v>42958</v>
      </c>
      <c r="B113" s="4">
        <f t="shared" si="1"/>
        <v>589</v>
      </c>
      <c r="C113" s="3">
        <v>3</v>
      </c>
      <c r="D113" s="3">
        <v>9</v>
      </c>
    </row>
    <row r="114" spans="1:4" x14ac:dyDescent="0.2">
      <c r="A114" s="5">
        <v>42958</v>
      </c>
      <c r="B114" s="4">
        <f t="shared" si="1"/>
        <v>589</v>
      </c>
      <c r="C114" s="3">
        <v>0</v>
      </c>
      <c r="D114" s="3">
        <v>10</v>
      </c>
    </row>
    <row r="115" spans="1:4" x14ac:dyDescent="0.2">
      <c r="A115" s="5">
        <v>42958</v>
      </c>
      <c r="B115" s="4">
        <f t="shared" si="1"/>
        <v>589</v>
      </c>
      <c r="C115" s="3">
        <v>0</v>
      </c>
      <c r="D115" s="3">
        <v>5</v>
      </c>
    </row>
    <row r="116" spans="1:4" x14ac:dyDescent="0.2">
      <c r="A116" s="5">
        <v>42965</v>
      </c>
      <c r="B116" s="4">
        <f t="shared" si="1"/>
        <v>596</v>
      </c>
      <c r="C116" s="3">
        <v>7</v>
      </c>
      <c r="D116" s="3">
        <v>6</v>
      </c>
    </row>
    <row r="117" spans="1:4" x14ac:dyDescent="0.2">
      <c r="A117" s="5">
        <v>42969</v>
      </c>
      <c r="B117" s="4">
        <f t="shared" si="1"/>
        <v>600</v>
      </c>
      <c r="C117" s="3">
        <v>4</v>
      </c>
      <c r="D117" s="3">
        <v>7</v>
      </c>
    </row>
    <row r="118" spans="1:4" x14ac:dyDescent="0.2">
      <c r="A118" s="5">
        <v>42971</v>
      </c>
      <c r="B118" s="4">
        <f t="shared" si="1"/>
        <v>602</v>
      </c>
      <c r="C118" s="3">
        <v>2</v>
      </c>
      <c r="D118" s="3">
        <v>12</v>
      </c>
    </row>
    <row r="119" spans="1:4" x14ac:dyDescent="0.2">
      <c r="A119" s="5">
        <v>42981</v>
      </c>
      <c r="B119" s="4">
        <f t="shared" si="1"/>
        <v>612</v>
      </c>
      <c r="C119" s="3">
        <v>10</v>
      </c>
      <c r="D119" s="3">
        <v>8</v>
      </c>
    </row>
    <row r="120" spans="1:4" x14ac:dyDescent="0.2">
      <c r="A120" s="5">
        <v>42985</v>
      </c>
      <c r="B120" s="4">
        <f t="shared" si="1"/>
        <v>616</v>
      </c>
      <c r="C120" s="3">
        <v>4</v>
      </c>
      <c r="D120" s="3">
        <v>12</v>
      </c>
    </row>
    <row r="121" spans="1:4" x14ac:dyDescent="0.2">
      <c r="A121" s="5">
        <v>42985</v>
      </c>
      <c r="B121" s="4">
        <f t="shared" si="1"/>
        <v>616</v>
      </c>
      <c r="C121" s="3">
        <v>0</v>
      </c>
      <c r="D121" s="3">
        <v>7</v>
      </c>
    </row>
    <row r="122" spans="1:4" x14ac:dyDescent="0.2">
      <c r="A122" s="5">
        <v>42986</v>
      </c>
      <c r="B122" s="4">
        <f t="shared" si="1"/>
        <v>617</v>
      </c>
      <c r="C122" s="3">
        <v>1</v>
      </c>
      <c r="D122" s="3">
        <v>10</v>
      </c>
    </row>
    <row r="123" spans="1:4" x14ac:dyDescent="0.2">
      <c r="A123" s="5">
        <v>42990</v>
      </c>
      <c r="B123" s="4">
        <f t="shared" si="1"/>
        <v>621</v>
      </c>
      <c r="C123" s="3">
        <v>4</v>
      </c>
      <c r="D123" s="3">
        <v>10</v>
      </c>
    </row>
    <row r="124" spans="1:4" x14ac:dyDescent="0.2">
      <c r="A124" s="5">
        <v>43003</v>
      </c>
      <c r="B124" s="4">
        <f t="shared" si="1"/>
        <v>634</v>
      </c>
      <c r="C124" s="3">
        <v>13</v>
      </c>
      <c r="D124" s="3">
        <v>9</v>
      </c>
    </row>
    <row r="125" spans="1:4" x14ac:dyDescent="0.2">
      <c r="A125" s="5">
        <v>43003</v>
      </c>
      <c r="B125" s="4">
        <f t="shared" si="1"/>
        <v>634</v>
      </c>
      <c r="C125" s="3">
        <v>0</v>
      </c>
      <c r="D125" s="3">
        <v>9</v>
      </c>
    </row>
    <row r="126" spans="1:4" x14ac:dyDescent="0.2">
      <c r="A126" s="5">
        <v>43004</v>
      </c>
      <c r="B126" s="4">
        <f t="shared" si="1"/>
        <v>635</v>
      </c>
      <c r="C126" s="3">
        <v>1</v>
      </c>
      <c r="D126" s="3">
        <v>9</v>
      </c>
    </row>
    <row r="127" spans="1:4" x14ac:dyDescent="0.2">
      <c r="A127" s="5">
        <v>43007</v>
      </c>
      <c r="B127" s="4">
        <f t="shared" si="1"/>
        <v>638</v>
      </c>
      <c r="C127" s="3">
        <v>3</v>
      </c>
      <c r="D127" s="3">
        <v>8</v>
      </c>
    </row>
    <row r="128" spans="1:4" x14ac:dyDescent="0.2">
      <c r="A128" s="5">
        <v>43008</v>
      </c>
      <c r="B128" s="4">
        <f t="shared" si="1"/>
        <v>639</v>
      </c>
      <c r="C128" s="3">
        <v>1</v>
      </c>
      <c r="D128" s="3">
        <v>10</v>
      </c>
    </row>
    <row r="129" spans="1:4" x14ac:dyDescent="0.2">
      <c r="A129" s="5">
        <v>43008</v>
      </c>
      <c r="B129" s="4">
        <f t="shared" si="1"/>
        <v>639</v>
      </c>
      <c r="C129" s="3">
        <v>0</v>
      </c>
      <c r="D129" s="3">
        <v>9</v>
      </c>
    </row>
    <row r="130" spans="1:4" x14ac:dyDescent="0.2">
      <c r="A130" s="5">
        <v>43009</v>
      </c>
      <c r="B130" s="4">
        <f t="shared" si="1"/>
        <v>640</v>
      </c>
      <c r="C130" s="3">
        <v>1</v>
      </c>
      <c r="D130" s="3">
        <v>8</v>
      </c>
    </row>
    <row r="131" spans="1:4" x14ac:dyDescent="0.2">
      <c r="A131" s="5">
        <v>43013</v>
      </c>
      <c r="B131" s="4">
        <f t="shared" si="1"/>
        <v>644</v>
      </c>
      <c r="C131" s="3">
        <v>4</v>
      </c>
      <c r="D131" s="3">
        <v>8</v>
      </c>
    </row>
    <row r="132" spans="1:4" x14ac:dyDescent="0.2">
      <c r="A132" s="5">
        <v>43025</v>
      </c>
      <c r="B132" s="4">
        <f t="shared" ref="B132:B195" si="2">_xlfn.DAYS(A132,$A$2)+1</f>
        <v>656</v>
      </c>
      <c r="C132" s="3">
        <v>12</v>
      </c>
      <c r="D132" s="3">
        <v>9</v>
      </c>
    </row>
    <row r="133" spans="1:4" x14ac:dyDescent="0.2">
      <c r="A133" s="5">
        <v>43026</v>
      </c>
      <c r="B133" s="4">
        <f t="shared" si="2"/>
        <v>657</v>
      </c>
      <c r="C133" s="3">
        <v>1</v>
      </c>
      <c r="D133" s="3">
        <v>6</v>
      </c>
    </row>
    <row r="134" spans="1:4" x14ac:dyDescent="0.2">
      <c r="A134" s="5">
        <v>43034</v>
      </c>
      <c r="B134" s="4">
        <f t="shared" si="2"/>
        <v>665</v>
      </c>
      <c r="C134" s="3">
        <v>8</v>
      </c>
      <c r="D134" s="3">
        <v>5</v>
      </c>
    </row>
    <row r="135" spans="1:4" x14ac:dyDescent="0.2">
      <c r="A135" s="5">
        <v>43043</v>
      </c>
      <c r="B135" s="4">
        <f t="shared" si="2"/>
        <v>674</v>
      </c>
      <c r="C135" s="3">
        <v>9</v>
      </c>
      <c r="D135" s="3">
        <v>6</v>
      </c>
    </row>
    <row r="136" spans="1:4" x14ac:dyDescent="0.2">
      <c r="A136" s="5">
        <v>43049</v>
      </c>
      <c r="B136" s="4">
        <f t="shared" si="2"/>
        <v>680</v>
      </c>
      <c r="C136" s="3">
        <v>6</v>
      </c>
      <c r="D136" s="3">
        <v>11</v>
      </c>
    </row>
    <row r="137" spans="1:4" x14ac:dyDescent="0.2">
      <c r="A137" s="5">
        <v>43051</v>
      </c>
      <c r="B137" s="4">
        <f t="shared" si="2"/>
        <v>682</v>
      </c>
      <c r="C137" s="3">
        <v>2</v>
      </c>
      <c r="D137" s="3">
        <v>9</v>
      </c>
    </row>
    <row r="138" spans="1:4" x14ac:dyDescent="0.2">
      <c r="A138" s="5">
        <v>43051</v>
      </c>
      <c r="B138" s="4">
        <f t="shared" si="2"/>
        <v>682</v>
      </c>
      <c r="C138" s="3">
        <v>0</v>
      </c>
      <c r="D138" s="3">
        <v>10</v>
      </c>
    </row>
    <row r="139" spans="1:4" x14ac:dyDescent="0.2">
      <c r="A139" s="5">
        <v>43065</v>
      </c>
      <c r="B139" s="4">
        <f t="shared" si="2"/>
        <v>696</v>
      </c>
      <c r="C139" s="3">
        <v>14</v>
      </c>
      <c r="D139" s="3">
        <v>10</v>
      </c>
    </row>
    <row r="140" spans="1:4" x14ac:dyDescent="0.2">
      <c r="A140" s="5">
        <v>43066</v>
      </c>
      <c r="B140" s="4">
        <f t="shared" si="2"/>
        <v>697</v>
      </c>
      <c r="C140" s="3">
        <v>1</v>
      </c>
      <c r="D140" s="3">
        <v>11</v>
      </c>
    </row>
    <row r="141" spans="1:4" x14ac:dyDescent="0.2">
      <c r="A141" s="5">
        <v>43070</v>
      </c>
      <c r="B141" s="4">
        <f t="shared" si="2"/>
        <v>701</v>
      </c>
      <c r="C141" s="3">
        <v>4</v>
      </c>
      <c r="D141" s="3">
        <v>8</v>
      </c>
    </row>
    <row r="142" spans="1:4" x14ac:dyDescent="0.2">
      <c r="A142" s="5">
        <v>43074</v>
      </c>
      <c r="B142" s="4">
        <f t="shared" si="2"/>
        <v>705</v>
      </c>
      <c r="C142" s="3">
        <v>4</v>
      </c>
      <c r="D142" s="3">
        <v>10</v>
      </c>
    </row>
    <row r="143" spans="1:4" x14ac:dyDescent="0.2">
      <c r="A143" s="5">
        <v>43077</v>
      </c>
      <c r="B143" s="4">
        <f t="shared" si="2"/>
        <v>708</v>
      </c>
      <c r="C143" s="3">
        <v>3</v>
      </c>
      <c r="D143" s="3">
        <v>9</v>
      </c>
    </row>
    <row r="144" spans="1:4" x14ac:dyDescent="0.2">
      <c r="A144" s="5">
        <v>43090</v>
      </c>
      <c r="B144" s="4">
        <f t="shared" si="2"/>
        <v>721</v>
      </c>
      <c r="C144" s="3">
        <v>13</v>
      </c>
      <c r="D144" s="3">
        <v>5</v>
      </c>
    </row>
    <row r="145" spans="1:4" x14ac:dyDescent="0.2">
      <c r="A145" s="5">
        <v>43092</v>
      </c>
      <c r="B145" s="4">
        <f t="shared" si="2"/>
        <v>723</v>
      </c>
      <c r="C145" s="3">
        <v>2</v>
      </c>
      <c r="D145" s="3">
        <v>10</v>
      </c>
    </row>
    <row r="146" spans="1:4" x14ac:dyDescent="0.2">
      <c r="A146" s="5">
        <v>43095</v>
      </c>
      <c r="B146" s="4">
        <f t="shared" si="2"/>
        <v>726</v>
      </c>
      <c r="C146" s="3">
        <v>3</v>
      </c>
      <c r="D146" s="3">
        <v>5</v>
      </c>
    </row>
    <row r="147" spans="1:4" x14ac:dyDescent="0.2">
      <c r="A147" s="5">
        <v>43098</v>
      </c>
      <c r="B147" s="4">
        <f t="shared" si="2"/>
        <v>729</v>
      </c>
      <c r="C147" s="3">
        <v>3</v>
      </c>
      <c r="D147" s="3">
        <v>11</v>
      </c>
    </row>
    <row r="148" spans="1:4" x14ac:dyDescent="0.2">
      <c r="A148" s="5">
        <v>43098</v>
      </c>
      <c r="B148" s="4">
        <f t="shared" si="2"/>
        <v>729</v>
      </c>
      <c r="C148" s="3">
        <v>0</v>
      </c>
      <c r="D148" s="3">
        <v>8</v>
      </c>
    </row>
    <row r="149" spans="1:4" x14ac:dyDescent="0.2">
      <c r="A149" s="5">
        <v>43101</v>
      </c>
      <c r="B149" s="4">
        <f t="shared" si="2"/>
        <v>732</v>
      </c>
      <c r="C149" s="3">
        <v>3</v>
      </c>
      <c r="D149" s="3">
        <v>9</v>
      </c>
    </row>
    <row r="150" spans="1:4" x14ac:dyDescent="0.2">
      <c r="A150" s="5">
        <v>43106</v>
      </c>
      <c r="B150" s="4">
        <f t="shared" si="2"/>
        <v>737</v>
      </c>
      <c r="C150" s="3">
        <v>5</v>
      </c>
      <c r="D150" s="3">
        <v>10</v>
      </c>
    </row>
    <row r="151" spans="1:4" x14ac:dyDescent="0.2">
      <c r="A151" s="5">
        <v>43110</v>
      </c>
      <c r="B151" s="4">
        <f t="shared" si="2"/>
        <v>741</v>
      </c>
      <c r="C151" s="3">
        <v>4</v>
      </c>
      <c r="D151" s="3">
        <v>8</v>
      </c>
    </row>
    <row r="152" spans="1:4" x14ac:dyDescent="0.2">
      <c r="A152" s="5">
        <v>43120</v>
      </c>
      <c r="B152" s="4">
        <f t="shared" si="2"/>
        <v>751</v>
      </c>
      <c r="C152" s="3">
        <v>10</v>
      </c>
      <c r="D152" s="3">
        <v>11</v>
      </c>
    </row>
    <row r="153" spans="1:4" x14ac:dyDescent="0.2">
      <c r="A153" s="5">
        <v>43124</v>
      </c>
      <c r="B153" s="4">
        <f t="shared" si="2"/>
        <v>755</v>
      </c>
      <c r="C153" s="3">
        <v>4</v>
      </c>
      <c r="D153" s="3">
        <v>7</v>
      </c>
    </row>
    <row r="154" spans="1:4" x14ac:dyDescent="0.2">
      <c r="A154" s="5">
        <v>43144</v>
      </c>
      <c r="B154" s="4">
        <f t="shared" si="2"/>
        <v>775</v>
      </c>
      <c r="C154" s="3">
        <v>20</v>
      </c>
      <c r="D154" s="3">
        <v>10</v>
      </c>
    </row>
    <row r="155" spans="1:4" x14ac:dyDescent="0.2">
      <c r="A155" s="5">
        <v>43151</v>
      </c>
      <c r="B155" s="4">
        <f t="shared" si="2"/>
        <v>782</v>
      </c>
      <c r="C155" s="3">
        <v>7</v>
      </c>
      <c r="D155" s="3">
        <v>8</v>
      </c>
    </row>
    <row r="156" spans="1:4" x14ac:dyDescent="0.2">
      <c r="A156" s="5">
        <v>43158</v>
      </c>
      <c r="B156" s="4">
        <f t="shared" si="2"/>
        <v>789</v>
      </c>
      <c r="C156" s="3">
        <v>7</v>
      </c>
      <c r="D156" s="3">
        <v>7</v>
      </c>
    </row>
    <row r="157" spans="1:4" x14ac:dyDescent="0.2">
      <c r="A157" s="5">
        <v>43158</v>
      </c>
      <c r="B157" s="4">
        <f t="shared" si="2"/>
        <v>789</v>
      </c>
      <c r="C157" s="3">
        <v>0</v>
      </c>
      <c r="D157" s="3">
        <v>8</v>
      </c>
    </row>
    <row r="158" spans="1:4" x14ac:dyDescent="0.2">
      <c r="A158" s="5">
        <v>43159</v>
      </c>
      <c r="B158" s="4">
        <f t="shared" si="2"/>
        <v>790</v>
      </c>
      <c r="C158" s="3">
        <v>1</v>
      </c>
      <c r="D158" s="3">
        <v>6</v>
      </c>
    </row>
    <row r="159" spans="1:4" x14ac:dyDescent="0.2">
      <c r="A159" s="5">
        <v>43164</v>
      </c>
      <c r="B159" s="4">
        <f t="shared" si="2"/>
        <v>795</v>
      </c>
      <c r="C159" s="3">
        <v>5</v>
      </c>
      <c r="D159" s="3">
        <v>11</v>
      </c>
    </row>
    <row r="160" spans="1:4" x14ac:dyDescent="0.2">
      <c r="A160" s="5">
        <v>43164</v>
      </c>
      <c r="B160" s="4">
        <f t="shared" si="2"/>
        <v>795</v>
      </c>
      <c r="C160" s="3">
        <v>0</v>
      </c>
      <c r="D160" s="3">
        <v>10</v>
      </c>
    </row>
    <row r="161" spans="1:4" x14ac:dyDescent="0.2">
      <c r="A161" s="5">
        <v>43171</v>
      </c>
      <c r="B161" s="4">
        <f t="shared" si="2"/>
        <v>802</v>
      </c>
      <c r="C161" s="3">
        <v>7</v>
      </c>
      <c r="D161" s="3">
        <v>8</v>
      </c>
    </row>
    <row r="162" spans="1:4" x14ac:dyDescent="0.2">
      <c r="A162" s="5">
        <v>43175</v>
      </c>
      <c r="B162" s="4">
        <f t="shared" si="2"/>
        <v>806</v>
      </c>
      <c r="C162" s="3">
        <v>4</v>
      </c>
      <c r="D162" s="3">
        <v>12</v>
      </c>
    </row>
    <row r="163" spans="1:4" x14ac:dyDescent="0.2">
      <c r="A163" s="5">
        <v>43189</v>
      </c>
      <c r="B163" s="4">
        <f t="shared" si="2"/>
        <v>820</v>
      </c>
      <c r="C163" s="3">
        <v>14</v>
      </c>
      <c r="D163" s="3">
        <v>13</v>
      </c>
    </row>
    <row r="164" spans="1:4" x14ac:dyDescent="0.2">
      <c r="A164" s="5">
        <v>43193</v>
      </c>
      <c r="B164" s="4">
        <f t="shared" si="2"/>
        <v>824</v>
      </c>
      <c r="C164" s="3">
        <v>4</v>
      </c>
      <c r="D164" s="3">
        <v>8</v>
      </c>
    </row>
    <row r="165" spans="1:4" x14ac:dyDescent="0.2">
      <c r="A165" s="5">
        <v>43194</v>
      </c>
      <c r="B165" s="4">
        <f t="shared" si="2"/>
        <v>825</v>
      </c>
      <c r="C165" s="3">
        <v>1</v>
      </c>
      <c r="D165" s="3">
        <v>6</v>
      </c>
    </row>
    <row r="166" spans="1:4" x14ac:dyDescent="0.2">
      <c r="A166" s="5">
        <v>43206</v>
      </c>
      <c r="B166" s="4">
        <f t="shared" si="2"/>
        <v>837</v>
      </c>
      <c r="C166" s="3">
        <v>12</v>
      </c>
      <c r="D166" s="3">
        <v>11</v>
      </c>
    </row>
    <row r="167" spans="1:4" x14ac:dyDescent="0.2">
      <c r="A167" s="5">
        <v>43213</v>
      </c>
      <c r="B167" s="4">
        <f t="shared" si="2"/>
        <v>844</v>
      </c>
      <c r="C167" s="3">
        <v>7</v>
      </c>
      <c r="D167" s="3">
        <v>10</v>
      </c>
    </row>
    <row r="168" spans="1:4" x14ac:dyDescent="0.2">
      <c r="A168" s="5">
        <v>43224</v>
      </c>
      <c r="B168" s="4">
        <f t="shared" si="2"/>
        <v>855</v>
      </c>
      <c r="C168" s="3">
        <v>11</v>
      </c>
      <c r="D168" s="3">
        <v>7</v>
      </c>
    </row>
    <row r="169" spans="1:4" x14ac:dyDescent="0.2">
      <c r="A169" s="5">
        <v>43228</v>
      </c>
      <c r="B169" s="4">
        <f t="shared" si="2"/>
        <v>859</v>
      </c>
      <c r="C169" s="3">
        <v>4</v>
      </c>
      <c r="D169" s="3">
        <v>10</v>
      </c>
    </row>
    <row r="170" spans="1:4" x14ac:dyDescent="0.2">
      <c r="A170" s="5">
        <v>43231</v>
      </c>
      <c r="B170" s="4">
        <f t="shared" si="2"/>
        <v>862</v>
      </c>
      <c r="C170" s="3">
        <v>3</v>
      </c>
      <c r="D170" s="3">
        <v>8</v>
      </c>
    </row>
    <row r="171" spans="1:4" x14ac:dyDescent="0.2">
      <c r="A171" s="5">
        <v>43231</v>
      </c>
      <c r="B171" s="4">
        <f t="shared" si="2"/>
        <v>862</v>
      </c>
      <c r="C171" s="3">
        <v>0</v>
      </c>
      <c r="D171" s="3">
        <v>8</v>
      </c>
    </row>
    <row r="172" spans="1:4" x14ac:dyDescent="0.2">
      <c r="A172" s="5">
        <v>43236</v>
      </c>
      <c r="B172" s="4">
        <f t="shared" si="2"/>
        <v>867</v>
      </c>
      <c r="C172" s="3">
        <v>5</v>
      </c>
      <c r="D172" s="3">
        <v>12</v>
      </c>
    </row>
    <row r="173" spans="1:4" x14ac:dyDescent="0.2">
      <c r="A173" s="5">
        <v>43238</v>
      </c>
      <c r="B173" s="4">
        <f t="shared" si="2"/>
        <v>869</v>
      </c>
      <c r="C173" s="3">
        <v>2</v>
      </c>
      <c r="D173" s="3">
        <v>7</v>
      </c>
    </row>
    <row r="174" spans="1:4" x14ac:dyDescent="0.2">
      <c r="A174" s="5">
        <v>43238</v>
      </c>
      <c r="B174" s="4">
        <f t="shared" si="2"/>
        <v>869</v>
      </c>
      <c r="C174" s="3">
        <v>0</v>
      </c>
      <c r="D174" s="3">
        <v>10</v>
      </c>
    </row>
    <row r="175" spans="1:4" x14ac:dyDescent="0.2">
      <c r="A175" s="5">
        <v>43244</v>
      </c>
      <c r="B175" s="4">
        <f t="shared" si="2"/>
        <v>875</v>
      </c>
      <c r="C175" s="3">
        <v>6</v>
      </c>
      <c r="D175" s="3">
        <v>6</v>
      </c>
    </row>
    <row r="176" spans="1:4" x14ac:dyDescent="0.2">
      <c r="A176" s="5">
        <v>43259</v>
      </c>
      <c r="B176" s="4">
        <f t="shared" si="2"/>
        <v>890</v>
      </c>
      <c r="C176" s="3">
        <v>15</v>
      </c>
      <c r="D176" s="3">
        <v>7</v>
      </c>
    </row>
    <row r="177" spans="1:4" x14ac:dyDescent="0.2">
      <c r="A177" s="5">
        <v>43261</v>
      </c>
      <c r="B177" s="4">
        <f t="shared" si="2"/>
        <v>892</v>
      </c>
      <c r="C177" s="3">
        <v>2</v>
      </c>
      <c r="D177" s="3">
        <v>4</v>
      </c>
    </row>
    <row r="178" spans="1:4" x14ac:dyDescent="0.2">
      <c r="A178" s="5">
        <v>43267</v>
      </c>
      <c r="B178" s="4">
        <f t="shared" si="2"/>
        <v>898</v>
      </c>
      <c r="C178" s="3">
        <v>6</v>
      </c>
      <c r="D178" s="3">
        <v>10</v>
      </c>
    </row>
    <row r="179" spans="1:4" x14ac:dyDescent="0.2">
      <c r="A179" s="5">
        <v>43270</v>
      </c>
      <c r="B179" s="4">
        <f t="shared" si="2"/>
        <v>901</v>
      </c>
      <c r="C179" s="3">
        <v>3</v>
      </c>
      <c r="D179" s="3">
        <v>10</v>
      </c>
    </row>
    <row r="180" spans="1:4" x14ac:dyDescent="0.2">
      <c r="A180" s="5">
        <v>43274</v>
      </c>
      <c r="B180" s="4">
        <f t="shared" si="2"/>
        <v>905</v>
      </c>
      <c r="C180" s="3">
        <v>4</v>
      </c>
      <c r="D180" s="3">
        <v>11</v>
      </c>
    </row>
    <row r="181" spans="1:4" x14ac:dyDescent="0.2">
      <c r="A181" s="5">
        <v>43285</v>
      </c>
      <c r="B181" s="4">
        <f t="shared" si="2"/>
        <v>916</v>
      </c>
      <c r="C181" s="3">
        <v>11</v>
      </c>
      <c r="D181" s="3">
        <v>7</v>
      </c>
    </row>
    <row r="182" spans="1:4" x14ac:dyDescent="0.2">
      <c r="A182" s="5">
        <v>43286</v>
      </c>
      <c r="B182" s="4">
        <f t="shared" si="2"/>
        <v>917</v>
      </c>
      <c r="C182" s="3">
        <v>1</v>
      </c>
      <c r="D182" s="3">
        <v>10</v>
      </c>
    </row>
    <row r="183" spans="1:4" x14ac:dyDescent="0.2">
      <c r="A183" s="5">
        <v>43287</v>
      </c>
      <c r="B183" s="4">
        <f t="shared" si="2"/>
        <v>918</v>
      </c>
      <c r="C183" s="3">
        <v>1</v>
      </c>
      <c r="D183" s="3">
        <v>11</v>
      </c>
    </row>
    <row r="184" spans="1:4" x14ac:dyDescent="0.2">
      <c r="A184" s="5">
        <v>43289</v>
      </c>
      <c r="B184" s="4">
        <f t="shared" si="2"/>
        <v>920</v>
      </c>
      <c r="C184" s="3">
        <v>2</v>
      </c>
      <c r="D184" s="3">
        <v>7</v>
      </c>
    </row>
    <row r="185" spans="1:4" x14ac:dyDescent="0.2">
      <c r="A185" s="5">
        <v>43294</v>
      </c>
      <c r="B185" s="4">
        <f t="shared" si="2"/>
        <v>925</v>
      </c>
      <c r="C185" s="3">
        <v>5</v>
      </c>
      <c r="D185" s="3">
        <v>8</v>
      </c>
    </row>
    <row r="186" spans="1:4" x14ac:dyDescent="0.2">
      <c r="A186" s="5">
        <v>43305</v>
      </c>
      <c r="B186" s="4">
        <f t="shared" si="2"/>
        <v>936</v>
      </c>
      <c r="C186" s="3">
        <v>11</v>
      </c>
      <c r="D186" s="3">
        <v>6</v>
      </c>
    </row>
    <row r="187" spans="1:4" x14ac:dyDescent="0.2">
      <c r="A187" s="5">
        <v>43308</v>
      </c>
      <c r="B187" s="4">
        <f t="shared" si="2"/>
        <v>939</v>
      </c>
      <c r="C187" s="3">
        <v>3</v>
      </c>
      <c r="D187" s="3">
        <v>10</v>
      </c>
    </row>
    <row r="188" spans="1:4" x14ac:dyDescent="0.2">
      <c r="A188" s="5">
        <v>43310</v>
      </c>
      <c r="B188" s="4">
        <f t="shared" si="2"/>
        <v>941</v>
      </c>
      <c r="C188" s="3">
        <v>2</v>
      </c>
      <c r="D188" s="3">
        <v>11</v>
      </c>
    </row>
    <row r="189" spans="1:4" x14ac:dyDescent="0.2">
      <c r="A189" s="5">
        <v>43311</v>
      </c>
      <c r="B189" s="4">
        <f t="shared" si="2"/>
        <v>942</v>
      </c>
      <c r="C189" s="3">
        <v>1</v>
      </c>
      <c r="D189" s="3">
        <v>8</v>
      </c>
    </row>
    <row r="190" spans="1:4" x14ac:dyDescent="0.2">
      <c r="A190" s="5">
        <v>43323</v>
      </c>
      <c r="B190" s="4">
        <f t="shared" si="2"/>
        <v>954</v>
      </c>
      <c r="C190" s="3">
        <v>12</v>
      </c>
      <c r="D190" s="3">
        <v>7</v>
      </c>
    </row>
    <row r="191" spans="1:4" x14ac:dyDescent="0.2">
      <c r="A191" s="5">
        <v>43329</v>
      </c>
      <c r="B191" s="4">
        <f t="shared" si="2"/>
        <v>960</v>
      </c>
      <c r="C191" s="3">
        <v>6</v>
      </c>
      <c r="D191" s="3">
        <v>9</v>
      </c>
    </row>
    <row r="192" spans="1:4" x14ac:dyDescent="0.2">
      <c r="A192" s="5">
        <v>43334</v>
      </c>
      <c r="B192" s="4">
        <f t="shared" si="2"/>
        <v>965</v>
      </c>
      <c r="C192" s="3">
        <v>5</v>
      </c>
      <c r="D192" s="3">
        <v>7</v>
      </c>
    </row>
    <row r="193" spans="1:4" x14ac:dyDescent="0.2">
      <c r="A193" s="5">
        <v>43340</v>
      </c>
      <c r="B193" s="4">
        <f t="shared" si="2"/>
        <v>971</v>
      </c>
      <c r="C193" s="3">
        <v>6</v>
      </c>
      <c r="D193" s="3">
        <v>9</v>
      </c>
    </row>
    <row r="194" spans="1:4" x14ac:dyDescent="0.2">
      <c r="A194" s="5">
        <v>43349</v>
      </c>
      <c r="B194" s="4">
        <f t="shared" si="2"/>
        <v>980</v>
      </c>
      <c r="C194" s="3">
        <v>9</v>
      </c>
      <c r="D194" s="3">
        <v>7</v>
      </c>
    </row>
    <row r="195" spans="1:4" x14ac:dyDescent="0.2">
      <c r="A195" s="5">
        <v>43352</v>
      </c>
      <c r="B195" s="4">
        <f t="shared" si="2"/>
        <v>983</v>
      </c>
      <c r="C195" s="3">
        <v>3</v>
      </c>
      <c r="D195" s="3">
        <v>7</v>
      </c>
    </row>
    <row r="196" spans="1:4" x14ac:dyDescent="0.2">
      <c r="A196" s="5">
        <v>43356</v>
      </c>
      <c r="B196" s="4">
        <f t="shared" ref="B196:B214" si="3">_xlfn.DAYS(A196,$A$2)+1</f>
        <v>987</v>
      </c>
      <c r="C196" s="3">
        <v>4</v>
      </c>
      <c r="D196" s="3">
        <v>7</v>
      </c>
    </row>
    <row r="197" spans="1:4" x14ac:dyDescent="0.2">
      <c r="A197" s="5">
        <v>43360</v>
      </c>
      <c r="B197" s="4">
        <f t="shared" si="3"/>
        <v>991</v>
      </c>
      <c r="C197" s="3">
        <v>4</v>
      </c>
      <c r="D197" s="3">
        <v>9</v>
      </c>
    </row>
    <row r="198" spans="1:4" x14ac:dyDescent="0.2">
      <c r="A198" s="5">
        <v>43363</v>
      </c>
      <c r="B198" s="4">
        <f t="shared" si="3"/>
        <v>994</v>
      </c>
      <c r="C198" s="3">
        <v>3</v>
      </c>
      <c r="D198" s="3">
        <v>8</v>
      </c>
    </row>
    <row r="199" spans="1:4" x14ac:dyDescent="0.2">
      <c r="A199" s="5">
        <v>43364</v>
      </c>
      <c r="B199" s="4">
        <f t="shared" si="3"/>
        <v>995</v>
      </c>
      <c r="C199" s="3">
        <v>1</v>
      </c>
      <c r="D199" s="3">
        <v>8</v>
      </c>
    </row>
    <row r="200" spans="1:4" x14ac:dyDescent="0.2">
      <c r="A200" s="5">
        <v>43367</v>
      </c>
      <c r="B200" s="4">
        <f t="shared" si="3"/>
        <v>998</v>
      </c>
      <c r="C200" s="3">
        <v>3</v>
      </c>
      <c r="D200" s="3">
        <v>10</v>
      </c>
    </row>
    <row r="201" spans="1:4" x14ac:dyDescent="0.2">
      <c r="A201" s="5">
        <v>43376</v>
      </c>
      <c r="B201" s="4">
        <f t="shared" si="3"/>
        <v>1007</v>
      </c>
      <c r="C201" s="3">
        <v>9</v>
      </c>
      <c r="D201" s="3">
        <v>7</v>
      </c>
    </row>
    <row r="202" spans="1:4" x14ac:dyDescent="0.2">
      <c r="A202" s="5">
        <v>43377</v>
      </c>
      <c r="B202" s="4">
        <f t="shared" si="3"/>
        <v>1008</v>
      </c>
      <c r="C202" s="3">
        <v>1</v>
      </c>
      <c r="D202" s="3">
        <v>10</v>
      </c>
    </row>
    <row r="203" spans="1:4" x14ac:dyDescent="0.2">
      <c r="A203" s="5">
        <v>43380</v>
      </c>
      <c r="B203" s="4">
        <f t="shared" si="3"/>
        <v>1011</v>
      </c>
      <c r="C203" s="3">
        <v>3</v>
      </c>
      <c r="D203" s="3">
        <v>7</v>
      </c>
    </row>
    <row r="204" spans="1:4" x14ac:dyDescent="0.2">
      <c r="A204" s="5">
        <v>43385</v>
      </c>
      <c r="B204" s="4">
        <f t="shared" si="3"/>
        <v>1016</v>
      </c>
      <c r="C204" s="3">
        <v>5</v>
      </c>
      <c r="D204" s="3">
        <v>10</v>
      </c>
    </row>
    <row r="205" spans="1:4" x14ac:dyDescent="0.2">
      <c r="A205" s="5">
        <v>43391</v>
      </c>
      <c r="B205" s="4">
        <f t="shared" si="3"/>
        <v>1022</v>
      </c>
      <c r="C205" s="3">
        <v>6</v>
      </c>
      <c r="D205" s="3">
        <v>8</v>
      </c>
    </row>
    <row r="206" spans="1:4" x14ac:dyDescent="0.2">
      <c r="A206" s="5">
        <v>43402</v>
      </c>
      <c r="B206" s="4">
        <f t="shared" si="3"/>
        <v>1033</v>
      </c>
      <c r="C206" s="3">
        <v>11</v>
      </c>
      <c r="D206" s="3">
        <v>11</v>
      </c>
    </row>
    <row r="207" spans="1:4" x14ac:dyDescent="0.2">
      <c r="A207" s="5">
        <v>43411</v>
      </c>
      <c r="B207" s="4">
        <f t="shared" si="3"/>
        <v>1042</v>
      </c>
      <c r="C207" s="3">
        <v>9</v>
      </c>
      <c r="D207" s="3">
        <v>11</v>
      </c>
    </row>
    <row r="208" spans="1:4" x14ac:dyDescent="0.2">
      <c r="A208" s="5">
        <v>43416</v>
      </c>
      <c r="B208" s="4">
        <f t="shared" si="3"/>
        <v>1047</v>
      </c>
      <c r="C208" s="3">
        <v>5</v>
      </c>
      <c r="D208" s="3">
        <v>11</v>
      </c>
    </row>
    <row r="209" spans="1:4" x14ac:dyDescent="0.2">
      <c r="A209" s="5">
        <v>43419</v>
      </c>
      <c r="B209" s="4">
        <f t="shared" si="3"/>
        <v>1050</v>
      </c>
      <c r="C209" s="3">
        <v>3</v>
      </c>
      <c r="D209" s="3">
        <v>9</v>
      </c>
    </row>
    <row r="210" spans="1:4" x14ac:dyDescent="0.2">
      <c r="A210" s="5">
        <v>43420</v>
      </c>
      <c r="B210" s="4">
        <f t="shared" si="3"/>
        <v>1051</v>
      </c>
      <c r="C210" s="3">
        <v>1</v>
      </c>
      <c r="D210" s="3">
        <v>6</v>
      </c>
    </row>
    <row r="211" spans="1:4" x14ac:dyDescent="0.2">
      <c r="A211" s="5">
        <v>43422</v>
      </c>
      <c r="B211" s="4">
        <f t="shared" si="3"/>
        <v>1053</v>
      </c>
      <c r="C211" s="3">
        <v>2</v>
      </c>
      <c r="D211" s="3">
        <v>8</v>
      </c>
    </row>
    <row r="212" spans="1:4" x14ac:dyDescent="0.2">
      <c r="A212" s="5">
        <v>43423</v>
      </c>
      <c r="B212" s="4">
        <f t="shared" si="3"/>
        <v>1054</v>
      </c>
      <c r="C212" s="3">
        <v>1</v>
      </c>
      <c r="D212" s="3">
        <v>8</v>
      </c>
    </row>
    <row r="213" spans="1:4" x14ac:dyDescent="0.2">
      <c r="A213" s="5">
        <v>43429</v>
      </c>
      <c r="B213" s="4">
        <f t="shared" si="3"/>
        <v>1060</v>
      </c>
      <c r="C213" s="3">
        <v>6</v>
      </c>
      <c r="D213" s="3">
        <v>8</v>
      </c>
    </row>
    <row r="214" spans="1:4" x14ac:dyDescent="0.2">
      <c r="A214" s="5">
        <v>43447</v>
      </c>
      <c r="B214" s="4">
        <f t="shared" si="3"/>
        <v>1078</v>
      </c>
      <c r="C214" s="3">
        <v>18</v>
      </c>
      <c r="D214" s="3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D52"/>
  <dimension ref="A1:D150"/>
  <sheetViews>
    <sheetView tabSelected="1" workbookViewId="0">
      <selection sqref="A1:D1"/>
    </sheetView>
  </sheetViews>
  <sheetFormatPr baseColWidth="10" defaultColWidth="8.83203125" defaultRowHeight="16" x14ac:dyDescent="0.2"/>
  <cols>
    <col min="1" max="1" width="10.83203125" style="5" bestFit="1" customWidth="1"/>
    <col min="2" max="2" width="6.83203125" style="4" bestFit="1" customWidth="1"/>
    <col min="3" max="3" width="12" style="3" bestFit="1" customWidth="1"/>
    <col min="4" max="4" width="9.5" style="3" bestFit="1" customWidth="1"/>
    <col min="6" max="6" width="14.6640625" customWidth="1"/>
    <col min="7" max="7" width="12.1640625" customWidth="1"/>
  </cols>
  <sheetData>
    <row r="1" spans="1:4" x14ac:dyDescent="0.2">
      <c r="A1" s="5" t="s">
        <v>1</v>
      </c>
      <c r="B1" s="4" t="s">
        <v>35</v>
      </c>
      <c r="C1" s="3" t="s">
        <v>0</v>
      </c>
      <c r="D1" s="3" t="s">
        <v>2</v>
      </c>
    </row>
    <row r="2" spans="1:4" x14ac:dyDescent="0.2">
      <c r="A2" s="5">
        <v>42370</v>
      </c>
      <c r="B2" s="4">
        <v>1</v>
      </c>
      <c r="D2" s="3">
        <v>1</v>
      </c>
    </row>
    <row r="3" spans="1:4" x14ac:dyDescent="0.2">
      <c r="A3" s="5">
        <v>42376</v>
      </c>
      <c r="B3" s="4">
        <f>_xlfn.DAYS(A3,$A$2)+1</f>
        <v>7</v>
      </c>
      <c r="C3" s="3">
        <v>6</v>
      </c>
      <c r="D3" s="3">
        <v>10</v>
      </c>
    </row>
    <row r="4" spans="1:4" x14ac:dyDescent="0.2">
      <c r="A4" s="5">
        <v>42387</v>
      </c>
      <c r="B4" s="4">
        <f t="shared" ref="B4:B67" si="0">_xlfn.DAYS(A4,$A$2)+1</f>
        <v>18</v>
      </c>
      <c r="C4" s="3">
        <v>11</v>
      </c>
      <c r="D4" s="3">
        <v>4</v>
      </c>
    </row>
    <row r="5" spans="1:4" x14ac:dyDescent="0.2">
      <c r="A5" s="5">
        <v>42387</v>
      </c>
      <c r="B5" s="4">
        <f t="shared" si="0"/>
        <v>18</v>
      </c>
      <c r="C5" s="3">
        <v>0</v>
      </c>
      <c r="D5" s="3">
        <v>1</v>
      </c>
    </row>
    <row r="6" spans="1:4" x14ac:dyDescent="0.2">
      <c r="A6" s="5">
        <v>42388</v>
      </c>
      <c r="B6" s="4">
        <f t="shared" si="0"/>
        <v>19</v>
      </c>
      <c r="C6" s="3">
        <v>1</v>
      </c>
      <c r="D6" s="3">
        <v>1</v>
      </c>
    </row>
    <row r="7" spans="1:4" x14ac:dyDescent="0.2">
      <c r="A7" s="5">
        <v>42394</v>
      </c>
      <c r="B7" s="4">
        <f t="shared" si="0"/>
        <v>25</v>
      </c>
      <c r="C7" s="3">
        <v>6</v>
      </c>
      <c r="D7" s="3">
        <v>7</v>
      </c>
    </row>
    <row r="8" spans="1:4" x14ac:dyDescent="0.2">
      <c r="A8" s="5">
        <v>42397</v>
      </c>
      <c r="B8" s="4">
        <f t="shared" si="0"/>
        <v>28</v>
      </c>
      <c r="C8" s="3">
        <v>3</v>
      </c>
      <c r="D8" s="3">
        <v>7</v>
      </c>
    </row>
    <row r="9" spans="1:4" x14ac:dyDescent="0.2">
      <c r="A9" s="5">
        <v>42409</v>
      </c>
      <c r="B9" s="4">
        <f t="shared" si="0"/>
        <v>40</v>
      </c>
      <c r="C9" s="3">
        <v>12</v>
      </c>
      <c r="D9" s="3">
        <v>4</v>
      </c>
    </row>
    <row r="10" spans="1:4" x14ac:dyDescent="0.2">
      <c r="A10" s="5">
        <v>42418</v>
      </c>
      <c r="B10" s="4">
        <f t="shared" si="0"/>
        <v>49</v>
      </c>
      <c r="C10" s="3">
        <v>9</v>
      </c>
      <c r="D10" s="3">
        <v>4</v>
      </c>
    </row>
    <row r="11" spans="1:4" x14ac:dyDescent="0.2">
      <c r="A11" s="5">
        <v>42419</v>
      </c>
      <c r="B11" s="4">
        <f t="shared" si="0"/>
        <v>50</v>
      </c>
      <c r="C11" s="3">
        <v>1</v>
      </c>
      <c r="D11" s="3">
        <v>3</v>
      </c>
    </row>
    <row r="12" spans="1:4" x14ac:dyDescent="0.2">
      <c r="A12" s="5">
        <v>42420</v>
      </c>
      <c r="B12" s="4">
        <f t="shared" si="0"/>
        <v>51</v>
      </c>
      <c r="C12" s="3">
        <v>1</v>
      </c>
      <c r="D12" s="3">
        <v>3</v>
      </c>
    </row>
    <row r="13" spans="1:4" x14ac:dyDescent="0.2">
      <c r="A13" s="5">
        <v>42431</v>
      </c>
      <c r="B13" s="4">
        <f t="shared" si="0"/>
        <v>62</v>
      </c>
      <c r="C13" s="3">
        <v>11</v>
      </c>
      <c r="D13" s="3">
        <v>1</v>
      </c>
    </row>
    <row r="14" spans="1:4" x14ac:dyDescent="0.2">
      <c r="A14" s="5">
        <v>42449</v>
      </c>
      <c r="B14" s="4">
        <f t="shared" si="0"/>
        <v>80</v>
      </c>
      <c r="C14" s="3">
        <v>18</v>
      </c>
      <c r="D14" s="3">
        <v>2</v>
      </c>
    </row>
    <row r="15" spans="1:4" x14ac:dyDescent="0.2">
      <c r="A15" s="5">
        <v>42466</v>
      </c>
      <c r="B15" s="4">
        <f t="shared" si="0"/>
        <v>97</v>
      </c>
      <c r="C15" s="3">
        <v>17</v>
      </c>
      <c r="D15" s="3">
        <v>3</v>
      </c>
    </row>
    <row r="16" spans="1:4" x14ac:dyDescent="0.2">
      <c r="A16" s="5">
        <v>42471</v>
      </c>
      <c r="B16" s="4">
        <f t="shared" si="0"/>
        <v>102</v>
      </c>
      <c r="C16" s="3">
        <v>5</v>
      </c>
      <c r="D16" s="3">
        <v>3</v>
      </c>
    </row>
    <row r="17" spans="1:4" x14ac:dyDescent="0.2">
      <c r="A17" s="5">
        <v>42483</v>
      </c>
      <c r="B17" s="4">
        <f t="shared" si="0"/>
        <v>114</v>
      </c>
      <c r="C17" s="3">
        <v>12</v>
      </c>
      <c r="D17" s="3">
        <v>4</v>
      </c>
    </row>
    <row r="18" spans="1:4" x14ac:dyDescent="0.2">
      <c r="A18" s="5">
        <v>42509</v>
      </c>
      <c r="B18" s="4">
        <f t="shared" si="0"/>
        <v>140</v>
      </c>
      <c r="C18" s="3">
        <v>26</v>
      </c>
      <c r="D18" s="3">
        <v>2</v>
      </c>
    </row>
    <row r="19" spans="1:4" x14ac:dyDescent="0.2">
      <c r="A19" s="5">
        <v>42512</v>
      </c>
      <c r="B19" s="4">
        <f t="shared" si="0"/>
        <v>143</v>
      </c>
      <c r="C19" s="3">
        <v>3</v>
      </c>
      <c r="D19" s="3">
        <v>3</v>
      </c>
    </row>
    <row r="20" spans="1:4" x14ac:dyDescent="0.2">
      <c r="A20" s="5">
        <v>42521</v>
      </c>
      <c r="B20" s="4">
        <f t="shared" si="0"/>
        <v>152</v>
      </c>
      <c r="C20" s="3">
        <v>9</v>
      </c>
      <c r="D20" s="3">
        <v>1</v>
      </c>
    </row>
    <row r="21" spans="1:4" x14ac:dyDescent="0.2">
      <c r="A21" s="5">
        <v>42522</v>
      </c>
      <c r="B21" s="4">
        <f t="shared" si="0"/>
        <v>153</v>
      </c>
      <c r="C21" s="3">
        <v>1</v>
      </c>
      <c r="D21" s="3">
        <v>9</v>
      </c>
    </row>
    <row r="22" spans="1:4" x14ac:dyDescent="0.2">
      <c r="A22" s="5">
        <v>42527</v>
      </c>
      <c r="B22" s="4">
        <f t="shared" si="0"/>
        <v>158</v>
      </c>
      <c r="C22" s="3">
        <v>5</v>
      </c>
      <c r="D22" s="3">
        <v>1</v>
      </c>
    </row>
    <row r="23" spans="1:4" x14ac:dyDescent="0.2">
      <c r="A23" s="5">
        <v>42530</v>
      </c>
      <c r="B23" s="4">
        <f t="shared" si="0"/>
        <v>161</v>
      </c>
      <c r="C23" s="3">
        <v>3</v>
      </c>
      <c r="D23" s="3">
        <v>5</v>
      </c>
    </row>
    <row r="24" spans="1:4" x14ac:dyDescent="0.2">
      <c r="A24" s="5">
        <v>42532</v>
      </c>
      <c r="B24" s="4">
        <f t="shared" si="0"/>
        <v>163</v>
      </c>
      <c r="C24" s="3">
        <v>2</v>
      </c>
      <c r="D24" s="3">
        <v>2</v>
      </c>
    </row>
    <row r="25" spans="1:4" x14ac:dyDescent="0.2">
      <c r="A25" s="5">
        <v>42544</v>
      </c>
      <c r="B25" s="4">
        <f t="shared" si="0"/>
        <v>175</v>
      </c>
      <c r="C25" s="3">
        <v>12</v>
      </c>
      <c r="D25" s="3">
        <v>7</v>
      </c>
    </row>
    <row r="26" spans="1:4" x14ac:dyDescent="0.2">
      <c r="A26" s="5">
        <v>42547</v>
      </c>
      <c r="B26" s="4">
        <f t="shared" si="0"/>
        <v>178</v>
      </c>
      <c r="C26" s="3">
        <v>3</v>
      </c>
      <c r="D26" s="3">
        <v>1</v>
      </c>
    </row>
    <row r="27" spans="1:4" x14ac:dyDescent="0.2">
      <c r="A27" s="5">
        <v>42549</v>
      </c>
      <c r="B27" s="4">
        <f t="shared" si="0"/>
        <v>180</v>
      </c>
      <c r="C27" s="3">
        <v>2</v>
      </c>
      <c r="D27" s="3">
        <v>5</v>
      </c>
    </row>
    <row r="28" spans="1:4" x14ac:dyDescent="0.2">
      <c r="A28" s="5">
        <v>42550</v>
      </c>
      <c r="B28" s="4">
        <f t="shared" si="0"/>
        <v>181</v>
      </c>
      <c r="C28" s="3">
        <v>1</v>
      </c>
      <c r="D28" s="3">
        <v>2</v>
      </c>
    </row>
    <row r="29" spans="1:4" x14ac:dyDescent="0.2">
      <c r="A29" s="5">
        <v>42556</v>
      </c>
      <c r="B29" s="4">
        <f t="shared" si="0"/>
        <v>187</v>
      </c>
      <c r="C29" s="3">
        <v>6</v>
      </c>
      <c r="D29" s="3">
        <v>7</v>
      </c>
    </row>
    <row r="30" spans="1:4" x14ac:dyDescent="0.2">
      <c r="A30" s="5">
        <v>42559</v>
      </c>
      <c r="B30" s="4">
        <f t="shared" si="0"/>
        <v>190</v>
      </c>
      <c r="C30" s="3">
        <v>3</v>
      </c>
      <c r="D30" s="3">
        <v>2</v>
      </c>
    </row>
    <row r="31" spans="1:4" x14ac:dyDescent="0.2">
      <c r="A31" s="5">
        <v>42560</v>
      </c>
      <c r="B31" s="4">
        <f t="shared" si="0"/>
        <v>191</v>
      </c>
      <c r="C31" s="3">
        <v>1</v>
      </c>
      <c r="D31" s="3">
        <v>1</v>
      </c>
    </row>
    <row r="32" spans="1:4" x14ac:dyDescent="0.2">
      <c r="A32" s="5">
        <v>42576</v>
      </c>
      <c r="B32" s="4">
        <f t="shared" si="0"/>
        <v>207</v>
      </c>
      <c r="C32" s="3">
        <v>16</v>
      </c>
      <c r="D32" s="3">
        <v>1</v>
      </c>
    </row>
    <row r="33" spans="1:4" x14ac:dyDescent="0.2">
      <c r="A33" s="5">
        <v>42584</v>
      </c>
      <c r="B33" s="4">
        <f t="shared" si="0"/>
        <v>215</v>
      </c>
      <c r="C33" s="3">
        <v>8</v>
      </c>
      <c r="D33" s="3">
        <v>3</v>
      </c>
    </row>
    <row r="34" spans="1:4" x14ac:dyDescent="0.2">
      <c r="A34" s="5">
        <v>42603</v>
      </c>
      <c r="B34" s="4">
        <f t="shared" si="0"/>
        <v>234</v>
      </c>
      <c r="C34" s="3">
        <v>19</v>
      </c>
      <c r="D34" s="3">
        <v>1</v>
      </c>
    </row>
    <row r="35" spans="1:4" x14ac:dyDescent="0.2">
      <c r="A35" s="5">
        <v>42605</v>
      </c>
      <c r="B35" s="4">
        <f t="shared" si="0"/>
        <v>236</v>
      </c>
      <c r="C35" s="3">
        <v>2</v>
      </c>
      <c r="D35" s="3">
        <v>6</v>
      </c>
    </row>
    <row r="36" spans="1:4" x14ac:dyDescent="0.2">
      <c r="A36" s="5">
        <v>42610</v>
      </c>
      <c r="B36" s="4">
        <f t="shared" si="0"/>
        <v>241</v>
      </c>
      <c r="C36" s="3">
        <v>5</v>
      </c>
      <c r="D36" s="3">
        <v>1</v>
      </c>
    </row>
    <row r="37" spans="1:4" x14ac:dyDescent="0.2">
      <c r="A37" s="5">
        <v>42613</v>
      </c>
      <c r="B37" s="4">
        <f t="shared" si="0"/>
        <v>244</v>
      </c>
      <c r="C37" s="3">
        <v>3</v>
      </c>
      <c r="D37" s="3">
        <v>1</v>
      </c>
    </row>
    <row r="38" spans="1:4" x14ac:dyDescent="0.2">
      <c r="A38" s="5">
        <v>42622</v>
      </c>
      <c r="B38" s="4">
        <f t="shared" si="0"/>
        <v>253</v>
      </c>
      <c r="C38" s="3">
        <v>9</v>
      </c>
      <c r="D38" s="3">
        <v>4</v>
      </c>
    </row>
    <row r="39" spans="1:4" x14ac:dyDescent="0.2">
      <c r="A39" s="5">
        <v>42639</v>
      </c>
      <c r="B39" s="4">
        <f t="shared" si="0"/>
        <v>270</v>
      </c>
      <c r="C39" s="3">
        <v>17</v>
      </c>
      <c r="D39" s="3">
        <v>3</v>
      </c>
    </row>
    <row r="40" spans="1:4" x14ac:dyDescent="0.2">
      <c r="A40" s="5">
        <v>42645</v>
      </c>
      <c r="B40" s="4">
        <f t="shared" si="0"/>
        <v>276</v>
      </c>
      <c r="C40" s="3">
        <v>6</v>
      </c>
      <c r="D40" s="3">
        <v>1</v>
      </c>
    </row>
    <row r="41" spans="1:4" x14ac:dyDescent="0.2">
      <c r="A41" s="5">
        <v>42649</v>
      </c>
      <c r="B41" s="4">
        <f t="shared" si="0"/>
        <v>280</v>
      </c>
      <c r="C41" s="3">
        <v>4</v>
      </c>
      <c r="D41" s="3">
        <v>1</v>
      </c>
    </row>
    <row r="42" spans="1:4" x14ac:dyDescent="0.2">
      <c r="A42" s="5">
        <v>42655</v>
      </c>
      <c r="B42" s="4">
        <f t="shared" si="0"/>
        <v>286</v>
      </c>
      <c r="C42" s="3">
        <v>6</v>
      </c>
      <c r="D42" s="3">
        <v>3</v>
      </c>
    </row>
    <row r="43" spans="1:4" x14ac:dyDescent="0.2">
      <c r="A43" s="5">
        <v>42671</v>
      </c>
      <c r="B43" s="4">
        <f t="shared" si="0"/>
        <v>302</v>
      </c>
      <c r="C43" s="3">
        <v>16</v>
      </c>
      <c r="D43" s="3">
        <v>3</v>
      </c>
    </row>
    <row r="44" spans="1:4" x14ac:dyDescent="0.2">
      <c r="A44" s="5">
        <v>42673</v>
      </c>
      <c r="B44" s="4">
        <f t="shared" si="0"/>
        <v>304</v>
      </c>
      <c r="C44" s="3">
        <v>2</v>
      </c>
      <c r="D44" s="3">
        <v>1</v>
      </c>
    </row>
    <row r="45" spans="1:4" x14ac:dyDescent="0.2">
      <c r="A45" s="5">
        <v>42680</v>
      </c>
      <c r="B45" s="4">
        <f t="shared" si="0"/>
        <v>311</v>
      </c>
      <c r="C45" s="3">
        <v>7</v>
      </c>
      <c r="D45" s="3">
        <v>2</v>
      </c>
    </row>
    <row r="46" spans="1:4" x14ac:dyDescent="0.2">
      <c r="A46" s="5">
        <v>42680</v>
      </c>
      <c r="B46" s="4">
        <f t="shared" si="0"/>
        <v>311</v>
      </c>
      <c r="C46" s="3">
        <v>0</v>
      </c>
      <c r="D46" s="3">
        <v>4</v>
      </c>
    </row>
    <row r="47" spans="1:4" x14ac:dyDescent="0.2">
      <c r="A47" s="5">
        <v>42684</v>
      </c>
      <c r="B47" s="4">
        <f t="shared" si="0"/>
        <v>315</v>
      </c>
      <c r="C47" s="3">
        <v>4</v>
      </c>
      <c r="D47" s="3">
        <v>1</v>
      </c>
    </row>
    <row r="48" spans="1:4" x14ac:dyDescent="0.2">
      <c r="A48" s="5">
        <v>42687</v>
      </c>
      <c r="B48" s="4">
        <f t="shared" si="0"/>
        <v>318</v>
      </c>
      <c r="C48" s="3">
        <v>3</v>
      </c>
      <c r="D48" s="3">
        <v>3</v>
      </c>
    </row>
    <row r="49" spans="1:4" x14ac:dyDescent="0.2">
      <c r="A49" s="5">
        <v>42701</v>
      </c>
      <c r="B49" s="4">
        <f t="shared" si="0"/>
        <v>332</v>
      </c>
      <c r="C49" s="3">
        <v>14</v>
      </c>
      <c r="D49" s="3">
        <v>2</v>
      </c>
    </row>
    <row r="50" spans="1:4" x14ac:dyDescent="0.2">
      <c r="A50" s="5">
        <v>42701</v>
      </c>
      <c r="B50" s="4">
        <f t="shared" si="0"/>
        <v>332</v>
      </c>
      <c r="C50" s="3">
        <v>0</v>
      </c>
      <c r="D50" s="3">
        <v>1</v>
      </c>
    </row>
    <row r="51" spans="1:4" x14ac:dyDescent="0.2">
      <c r="A51" s="5">
        <v>42701</v>
      </c>
      <c r="B51" s="4">
        <f t="shared" si="0"/>
        <v>332</v>
      </c>
      <c r="C51" s="3">
        <v>0</v>
      </c>
      <c r="D51" s="3">
        <v>1</v>
      </c>
    </row>
    <row r="52" spans="1:4" x14ac:dyDescent="0.2">
      <c r="A52" s="5">
        <v>42715</v>
      </c>
      <c r="B52" s="4">
        <f t="shared" si="0"/>
        <v>346</v>
      </c>
      <c r="C52" s="3">
        <v>14</v>
      </c>
      <c r="D52" s="3">
        <v>13</v>
      </c>
    </row>
    <row r="53" spans="1:4" x14ac:dyDescent="0.2">
      <c r="A53" s="5">
        <v>42720</v>
      </c>
      <c r="B53" s="4">
        <f t="shared" si="0"/>
        <v>351</v>
      </c>
      <c r="C53" s="3">
        <v>5</v>
      </c>
      <c r="D53" s="3">
        <v>5</v>
      </c>
    </row>
    <row r="54" spans="1:4" x14ac:dyDescent="0.2">
      <c r="A54" s="5">
        <v>42725</v>
      </c>
      <c r="B54" s="4">
        <f t="shared" si="0"/>
        <v>356</v>
      </c>
      <c r="C54" s="3">
        <v>5</v>
      </c>
      <c r="D54" s="3">
        <v>1</v>
      </c>
    </row>
    <row r="55" spans="1:4" x14ac:dyDescent="0.2">
      <c r="A55" s="5">
        <v>42731</v>
      </c>
      <c r="B55" s="4">
        <f t="shared" si="0"/>
        <v>362</v>
      </c>
      <c r="C55" s="3">
        <v>6</v>
      </c>
      <c r="D55" s="3">
        <v>2</v>
      </c>
    </row>
    <row r="56" spans="1:4" x14ac:dyDescent="0.2">
      <c r="A56" s="5">
        <v>42739</v>
      </c>
      <c r="B56" s="4">
        <f t="shared" si="0"/>
        <v>370</v>
      </c>
      <c r="C56" s="3">
        <v>8</v>
      </c>
      <c r="D56" s="3">
        <v>1</v>
      </c>
    </row>
    <row r="57" spans="1:4" x14ac:dyDescent="0.2">
      <c r="A57" s="5">
        <v>42742</v>
      </c>
      <c r="B57" s="4">
        <f t="shared" si="0"/>
        <v>373</v>
      </c>
      <c r="C57" s="3">
        <v>3</v>
      </c>
      <c r="D57" s="3">
        <v>2</v>
      </c>
    </row>
    <row r="58" spans="1:4" x14ac:dyDescent="0.2">
      <c r="A58" s="5">
        <v>42769</v>
      </c>
      <c r="B58" s="4">
        <f t="shared" si="0"/>
        <v>400</v>
      </c>
      <c r="C58" s="3">
        <v>27</v>
      </c>
      <c r="D58" s="3">
        <v>1</v>
      </c>
    </row>
    <row r="59" spans="1:4" x14ac:dyDescent="0.2">
      <c r="A59" s="5">
        <v>42773</v>
      </c>
      <c r="B59" s="4">
        <f t="shared" si="0"/>
        <v>404</v>
      </c>
      <c r="C59" s="3">
        <v>4</v>
      </c>
      <c r="D59" s="3">
        <v>10</v>
      </c>
    </row>
    <row r="60" spans="1:4" x14ac:dyDescent="0.2">
      <c r="A60" s="5">
        <v>42775</v>
      </c>
      <c r="B60" s="4">
        <f t="shared" si="0"/>
        <v>406</v>
      </c>
      <c r="C60" s="3">
        <v>2</v>
      </c>
      <c r="D60" s="3">
        <v>3</v>
      </c>
    </row>
    <row r="61" spans="1:4" x14ac:dyDescent="0.2">
      <c r="A61" s="5">
        <v>42781</v>
      </c>
      <c r="B61" s="4">
        <f t="shared" si="0"/>
        <v>412</v>
      </c>
      <c r="C61" s="3">
        <v>6</v>
      </c>
      <c r="D61" s="3">
        <v>9</v>
      </c>
    </row>
    <row r="62" spans="1:4" x14ac:dyDescent="0.2">
      <c r="A62" s="5">
        <v>42797</v>
      </c>
      <c r="B62" s="4">
        <f t="shared" si="0"/>
        <v>428</v>
      </c>
      <c r="C62" s="3">
        <v>16</v>
      </c>
      <c r="D62" s="3">
        <v>1</v>
      </c>
    </row>
    <row r="63" spans="1:4" x14ac:dyDescent="0.2">
      <c r="A63" s="5">
        <v>42803</v>
      </c>
      <c r="B63" s="4">
        <f t="shared" si="0"/>
        <v>434</v>
      </c>
      <c r="C63" s="3">
        <v>6</v>
      </c>
      <c r="D63" s="3">
        <v>1</v>
      </c>
    </row>
    <row r="64" spans="1:4" x14ac:dyDescent="0.2">
      <c r="A64" s="5">
        <v>42808</v>
      </c>
      <c r="B64" s="4">
        <f t="shared" si="0"/>
        <v>439</v>
      </c>
      <c r="C64" s="3">
        <v>5</v>
      </c>
      <c r="D64" s="3">
        <v>1</v>
      </c>
    </row>
    <row r="65" spans="1:4" x14ac:dyDescent="0.2">
      <c r="A65" s="5">
        <v>42811</v>
      </c>
      <c r="B65" s="4">
        <f t="shared" si="0"/>
        <v>442</v>
      </c>
      <c r="C65" s="3">
        <v>3</v>
      </c>
      <c r="D65" s="3">
        <v>1</v>
      </c>
    </row>
    <row r="66" spans="1:4" x14ac:dyDescent="0.2">
      <c r="A66" s="5">
        <v>42812</v>
      </c>
      <c r="B66" s="4">
        <f t="shared" si="0"/>
        <v>443</v>
      </c>
      <c r="C66" s="3">
        <v>1</v>
      </c>
      <c r="D66" s="3">
        <v>3</v>
      </c>
    </row>
    <row r="67" spans="1:4" x14ac:dyDescent="0.2">
      <c r="A67" s="5">
        <v>42813</v>
      </c>
      <c r="B67" s="4">
        <f t="shared" si="0"/>
        <v>444</v>
      </c>
      <c r="C67" s="3">
        <v>1</v>
      </c>
      <c r="D67" s="3">
        <v>1</v>
      </c>
    </row>
    <row r="68" spans="1:4" x14ac:dyDescent="0.2">
      <c r="A68" s="5">
        <v>42816</v>
      </c>
      <c r="B68" s="4">
        <f t="shared" ref="B68:B131" si="1">_xlfn.DAYS(A68,$A$2)+1</f>
        <v>447</v>
      </c>
      <c r="C68" s="3">
        <v>3</v>
      </c>
      <c r="D68" s="3">
        <v>1</v>
      </c>
    </row>
    <row r="69" spans="1:4" x14ac:dyDescent="0.2">
      <c r="A69" s="5">
        <v>42817</v>
      </c>
      <c r="B69" s="4">
        <f t="shared" si="1"/>
        <v>448</v>
      </c>
      <c r="C69" s="3">
        <v>1</v>
      </c>
      <c r="D69" s="3">
        <v>4</v>
      </c>
    </row>
    <row r="70" spans="1:4" x14ac:dyDescent="0.2">
      <c r="A70" s="5">
        <v>42823</v>
      </c>
      <c r="B70" s="4">
        <f t="shared" si="1"/>
        <v>454</v>
      </c>
      <c r="C70" s="3">
        <v>6</v>
      </c>
      <c r="D70" s="3">
        <v>3</v>
      </c>
    </row>
    <row r="71" spans="1:4" x14ac:dyDescent="0.2">
      <c r="A71" s="5">
        <v>42837</v>
      </c>
      <c r="B71" s="4">
        <f t="shared" si="1"/>
        <v>468</v>
      </c>
      <c r="C71" s="3">
        <v>14</v>
      </c>
      <c r="D71" s="3">
        <v>3</v>
      </c>
    </row>
    <row r="72" spans="1:4" x14ac:dyDescent="0.2">
      <c r="A72" s="5">
        <v>42838</v>
      </c>
      <c r="B72" s="4">
        <f t="shared" si="1"/>
        <v>469</v>
      </c>
      <c r="C72" s="3">
        <v>1</v>
      </c>
      <c r="D72" s="3">
        <v>2</v>
      </c>
    </row>
    <row r="73" spans="1:4" x14ac:dyDescent="0.2">
      <c r="A73" s="5">
        <v>42838</v>
      </c>
      <c r="B73" s="4">
        <f t="shared" si="1"/>
        <v>469</v>
      </c>
      <c r="C73" s="3">
        <v>0</v>
      </c>
      <c r="D73" s="3">
        <v>1</v>
      </c>
    </row>
    <row r="74" spans="1:4" x14ac:dyDescent="0.2">
      <c r="A74" s="5">
        <v>42878</v>
      </c>
      <c r="B74" s="4">
        <f t="shared" si="1"/>
        <v>509</v>
      </c>
      <c r="C74" s="3">
        <v>40</v>
      </c>
      <c r="D74" s="3">
        <v>1</v>
      </c>
    </row>
    <row r="75" spans="1:4" x14ac:dyDescent="0.2">
      <c r="A75" s="5">
        <v>42886</v>
      </c>
      <c r="B75" s="4">
        <f t="shared" si="1"/>
        <v>517</v>
      </c>
      <c r="C75" s="3">
        <v>8</v>
      </c>
      <c r="D75" s="3">
        <v>5</v>
      </c>
    </row>
    <row r="76" spans="1:4" x14ac:dyDescent="0.2">
      <c r="A76" s="5">
        <v>42894</v>
      </c>
      <c r="B76" s="4">
        <f t="shared" si="1"/>
        <v>525</v>
      </c>
      <c r="C76" s="3">
        <v>8</v>
      </c>
      <c r="D76" s="3">
        <v>5</v>
      </c>
    </row>
    <row r="77" spans="1:4" x14ac:dyDescent="0.2">
      <c r="A77" s="5">
        <v>42899</v>
      </c>
      <c r="B77" s="4">
        <f t="shared" si="1"/>
        <v>530</v>
      </c>
      <c r="C77" s="3">
        <v>5</v>
      </c>
      <c r="D77" s="3">
        <v>4</v>
      </c>
    </row>
    <row r="78" spans="1:4" x14ac:dyDescent="0.2">
      <c r="A78" s="5">
        <v>42904</v>
      </c>
      <c r="B78" s="4">
        <f t="shared" si="1"/>
        <v>535</v>
      </c>
      <c r="C78" s="3">
        <v>5</v>
      </c>
      <c r="D78" s="3">
        <v>1</v>
      </c>
    </row>
    <row r="79" spans="1:4" x14ac:dyDescent="0.2">
      <c r="A79" s="5">
        <v>42917</v>
      </c>
      <c r="B79" s="4">
        <f t="shared" si="1"/>
        <v>548</v>
      </c>
      <c r="C79" s="3">
        <v>13</v>
      </c>
      <c r="D79" s="3">
        <v>3</v>
      </c>
    </row>
    <row r="80" spans="1:4" x14ac:dyDescent="0.2">
      <c r="A80" s="5">
        <v>42924</v>
      </c>
      <c r="B80" s="4">
        <f t="shared" si="1"/>
        <v>555</v>
      </c>
      <c r="C80" s="3">
        <v>7</v>
      </c>
      <c r="D80" s="3">
        <v>4</v>
      </c>
    </row>
    <row r="81" spans="1:4" x14ac:dyDescent="0.2">
      <c r="A81" s="5">
        <v>42924</v>
      </c>
      <c r="B81" s="4">
        <f t="shared" si="1"/>
        <v>555</v>
      </c>
      <c r="C81" s="3">
        <v>0</v>
      </c>
      <c r="D81" s="3">
        <v>3</v>
      </c>
    </row>
    <row r="82" spans="1:4" x14ac:dyDescent="0.2">
      <c r="A82" s="5">
        <v>42936</v>
      </c>
      <c r="B82" s="4">
        <f t="shared" si="1"/>
        <v>567</v>
      </c>
      <c r="C82" s="3">
        <v>12</v>
      </c>
      <c r="D82" s="3">
        <v>4</v>
      </c>
    </row>
    <row r="83" spans="1:4" x14ac:dyDescent="0.2">
      <c r="A83" s="5">
        <v>42937</v>
      </c>
      <c r="B83" s="4">
        <f t="shared" si="1"/>
        <v>568</v>
      </c>
      <c r="C83" s="3">
        <v>1</v>
      </c>
      <c r="D83" s="3">
        <v>2</v>
      </c>
    </row>
    <row r="84" spans="1:4" x14ac:dyDescent="0.2">
      <c r="A84" s="5">
        <v>42958</v>
      </c>
      <c r="B84" s="4">
        <f t="shared" si="1"/>
        <v>589</v>
      </c>
      <c r="C84" s="3">
        <v>21</v>
      </c>
      <c r="D84" s="3">
        <v>4</v>
      </c>
    </row>
    <row r="85" spans="1:4" x14ac:dyDescent="0.2">
      <c r="A85" s="5">
        <v>42988</v>
      </c>
      <c r="B85" s="4">
        <f t="shared" si="1"/>
        <v>619</v>
      </c>
      <c r="C85" s="3">
        <v>30</v>
      </c>
      <c r="D85" s="3">
        <v>4</v>
      </c>
    </row>
    <row r="86" spans="1:4" x14ac:dyDescent="0.2">
      <c r="A86" s="5">
        <v>42988</v>
      </c>
      <c r="B86" s="4">
        <f t="shared" si="1"/>
        <v>619</v>
      </c>
      <c r="C86" s="3">
        <v>0</v>
      </c>
      <c r="D86" s="3">
        <v>6</v>
      </c>
    </row>
    <row r="87" spans="1:4" x14ac:dyDescent="0.2">
      <c r="A87" s="5">
        <v>43001</v>
      </c>
      <c r="B87" s="4">
        <f t="shared" si="1"/>
        <v>632</v>
      </c>
      <c r="C87" s="3">
        <v>13</v>
      </c>
      <c r="D87" s="3">
        <v>1</v>
      </c>
    </row>
    <row r="88" spans="1:4" x14ac:dyDescent="0.2">
      <c r="A88" s="5">
        <v>43003</v>
      </c>
      <c r="B88" s="4">
        <f t="shared" si="1"/>
        <v>634</v>
      </c>
      <c r="C88" s="3">
        <v>2</v>
      </c>
      <c r="D88" s="3">
        <v>3</v>
      </c>
    </row>
    <row r="89" spans="1:4" x14ac:dyDescent="0.2">
      <c r="A89" s="5">
        <v>43008</v>
      </c>
      <c r="B89" s="4">
        <f t="shared" si="1"/>
        <v>639</v>
      </c>
      <c r="C89" s="3">
        <v>5</v>
      </c>
      <c r="D89" s="3">
        <v>2</v>
      </c>
    </row>
    <row r="90" spans="1:4" x14ac:dyDescent="0.2">
      <c r="A90" s="5">
        <v>43017</v>
      </c>
      <c r="B90" s="4">
        <f t="shared" si="1"/>
        <v>648</v>
      </c>
      <c r="C90" s="3">
        <v>9</v>
      </c>
      <c r="D90" s="3">
        <v>2</v>
      </c>
    </row>
    <row r="91" spans="1:4" x14ac:dyDescent="0.2">
      <c r="A91" s="5">
        <v>43019</v>
      </c>
      <c r="B91" s="4">
        <f t="shared" si="1"/>
        <v>650</v>
      </c>
      <c r="C91" s="3">
        <v>2</v>
      </c>
      <c r="D91" s="3">
        <v>8</v>
      </c>
    </row>
    <row r="92" spans="1:4" x14ac:dyDescent="0.2">
      <c r="A92" s="5">
        <v>43028</v>
      </c>
      <c r="B92" s="4">
        <f t="shared" si="1"/>
        <v>659</v>
      </c>
      <c r="C92" s="3">
        <v>9</v>
      </c>
      <c r="D92" s="3">
        <v>1</v>
      </c>
    </row>
    <row r="93" spans="1:4" x14ac:dyDescent="0.2">
      <c r="A93" s="5">
        <v>43030</v>
      </c>
      <c r="B93" s="4">
        <f t="shared" si="1"/>
        <v>661</v>
      </c>
      <c r="C93" s="3">
        <v>2</v>
      </c>
      <c r="D93" s="3">
        <v>2</v>
      </c>
    </row>
    <row r="94" spans="1:4" x14ac:dyDescent="0.2">
      <c r="A94" s="5">
        <v>43038</v>
      </c>
      <c r="B94" s="4">
        <f t="shared" si="1"/>
        <v>669</v>
      </c>
      <c r="C94" s="3">
        <v>8</v>
      </c>
      <c r="D94" s="3">
        <v>7</v>
      </c>
    </row>
    <row r="95" spans="1:4" x14ac:dyDescent="0.2">
      <c r="A95" s="5">
        <v>43043</v>
      </c>
      <c r="B95" s="4">
        <f t="shared" si="1"/>
        <v>674</v>
      </c>
      <c r="C95" s="3">
        <v>5</v>
      </c>
      <c r="D95" s="3">
        <v>10</v>
      </c>
    </row>
    <row r="96" spans="1:4" x14ac:dyDescent="0.2">
      <c r="A96" s="5">
        <v>43047</v>
      </c>
      <c r="B96" s="4">
        <f t="shared" si="1"/>
        <v>678</v>
      </c>
      <c r="C96" s="3">
        <v>4</v>
      </c>
      <c r="D96" s="3">
        <v>1</v>
      </c>
    </row>
    <row r="97" spans="1:4" x14ac:dyDescent="0.2">
      <c r="A97" s="5">
        <v>43063</v>
      </c>
      <c r="B97" s="4">
        <f t="shared" si="1"/>
        <v>694</v>
      </c>
      <c r="C97" s="3">
        <v>16</v>
      </c>
      <c r="D97" s="3">
        <v>3</v>
      </c>
    </row>
    <row r="98" spans="1:4" x14ac:dyDescent="0.2">
      <c r="A98" s="5">
        <v>43071</v>
      </c>
      <c r="B98" s="4">
        <f t="shared" si="1"/>
        <v>702</v>
      </c>
      <c r="C98" s="3">
        <v>8</v>
      </c>
      <c r="D98" s="3">
        <v>4</v>
      </c>
    </row>
    <row r="99" spans="1:4" x14ac:dyDescent="0.2">
      <c r="A99" s="5">
        <v>43076</v>
      </c>
      <c r="B99" s="4">
        <f t="shared" si="1"/>
        <v>707</v>
      </c>
      <c r="C99" s="3">
        <v>5</v>
      </c>
      <c r="D99" s="3">
        <v>7</v>
      </c>
    </row>
    <row r="100" spans="1:4" x14ac:dyDescent="0.2">
      <c r="A100" s="5">
        <v>43077</v>
      </c>
      <c r="B100" s="4">
        <f t="shared" si="1"/>
        <v>708</v>
      </c>
      <c r="C100" s="3">
        <v>1</v>
      </c>
      <c r="D100" s="3">
        <v>1</v>
      </c>
    </row>
    <row r="101" spans="1:4" x14ac:dyDescent="0.2">
      <c r="A101" s="5">
        <v>43083</v>
      </c>
      <c r="B101" s="4">
        <f t="shared" si="1"/>
        <v>714</v>
      </c>
      <c r="C101" s="3">
        <v>6</v>
      </c>
      <c r="D101" s="3">
        <v>3</v>
      </c>
    </row>
    <row r="102" spans="1:4" x14ac:dyDescent="0.2">
      <c r="A102" s="5">
        <v>43108</v>
      </c>
      <c r="B102" s="4">
        <f t="shared" si="1"/>
        <v>739</v>
      </c>
      <c r="C102" s="3">
        <v>25</v>
      </c>
      <c r="D102" s="3">
        <v>7</v>
      </c>
    </row>
    <row r="103" spans="1:4" x14ac:dyDescent="0.2">
      <c r="A103" s="5">
        <v>43110</v>
      </c>
      <c r="B103" s="4">
        <f t="shared" si="1"/>
        <v>741</v>
      </c>
      <c r="C103" s="3">
        <v>2</v>
      </c>
      <c r="D103" s="3">
        <v>4</v>
      </c>
    </row>
    <row r="104" spans="1:4" x14ac:dyDescent="0.2">
      <c r="A104" s="5">
        <v>43114</v>
      </c>
      <c r="B104" s="4">
        <f t="shared" si="1"/>
        <v>745</v>
      </c>
      <c r="C104" s="3">
        <v>4</v>
      </c>
      <c r="D104" s="3">
        <v>3</v>
      </c>
    </row>
    <row r="105" spans="1:4" x14ac:dyDescent="0.2">
      <c r="A105" s="5">
        <v>43127</v>
      </c>
      <c r="B105" s="4">
        <f t="shared" si="1"/>
        <v>758</v>
      </c>
      <c r="C105" s="3">
        <v>13</v>
      </c>
      <c r="D105" s="3">
        <v>1</v>
      </c>
    </row>
    <row r="106" spans="1:4" x14ac:dyDescent="0.2">
      <c r="A106" s="5">
        <v>43140</v>
      </c>
      <c r="B106" s="4">
        <f t="shared" si="1"/>
        <v>771</v>
      </c>
      <c r="C106" s="3">
        <v>13</v>
      </c>
      <c r="D106" s="3">
        <v>5</v>
      </c>
    </row>
    <row r="107" spans="1:4" x14ac:dyDescent="0.2">
      <c r="A107" s="5">
        <v>43145</v>
      </c>
      <c r="B107" s="4">
        <f t="shared" si="1"/>
        <v>776</v>
      </c>
      <c r="C107" s="3">
        <v>5</v>
      </c>
      <c r="D107" s="3">
        <v>4</v>
      </c>
    </row>
    <row r="108" spans="1:4" x14ac:dyDescent="0.2">
      <c r="A108" s="5">
        <v>43146</v>
      </c>
      <c r="B108" s="4">
        <f t="shared" si="1"/>
        <v>777</v>
      </c>
      <c r="C108" s="3">
        <v>1</v>
      </c>
      <c r="D108" s="3">
        <v>1</v>
      </c>
    </row>
    <row r="109" spans="1:4" x14ac:dyDescent="0.2">
      <c r="A109" s="5">
        <v>43158</v>
      </c>
      <c r="B109" s="4">
        <f t="shared" si="1"/>
        <v>789</v>
      </c>
      <c r="C109" s="3">
        <v>12</v>
      </c>
      <c r="D109" s="3">
        <v>1</v>
      </c>
    </row>
    <row r="110" spans="1:4" x14ac:dyDescent="0.2">
      <c r="A110" s="5">
        <v>43164</v>
      </c>
      <c r="B110" s="4">
        <f t="shared" si="1"/>
        <v>795</v>
      </c>
      <c r="C110" s="3">
        <v>6</v>
      </c>
      <c r="D110" s="3">
        <v>3</v>
      </c>
    </row>
    <row r="111" spans="1:4" x14ac:dyDescent="0.2">
      <c r="A111" s="5">
        <v>43164</v>
      </c>
      <c r="B111" s="4">
        <f t="shared" si="1"/>
        <v>795</v>
      </c>
      <c r="C111" s="3">
        <v>0</v>
      </c>
      <c r="D111" s="3">
        <v>1</v>
      </c>
    </row>
    <row r="112" spans="1:4" x14ac:dyDescent="0.2">
      <c r="A112" s="5">
        <v>43184</v>
      </c>
      <c r="B112" s="4">
        <f t="shared" si="1"/>
        <v>815</v>
      </c>
      <c r="C112" s="3">
        <v>20</v>
      </c>
      <c r="D112" s="3">
        <v>4</v>
      </c>
    </row>
    <row r="113" spans="1:4" x14ac:dyDescent="0.2">
      <c r="A113" s="5">
        <v>43190</v>
      </c>
      <c r="B113" s="4">
        <f t="shared" si="1"/>
        <v>821</v>
      </c>
      <c r="C113" s="3">
        <v>6</v>
      </c>
      <c r="D113" s="3">
        <v>1</v>
      </c>
    </row>
    <row r="114" spans="1:4" x14ac:dyDescent="0.2">
      <c r="A114" s="5">
        <v>43211</v>
      </c>
      <c r="B114" s="4">
        <f t="shared" si="1"/>
        <v>842</v>
      </c>
      <c r="C114" s="3">
        <v>21</v>
      </c>
      <c r="D114" s="3">
        <v>1</v>
      </c>
    </row>
    <row r="115" spans="1:4" x14ac:dyDescent="0.2">
      <c r="A115" s="5">
        <v>43216</v>
      </c>
      <c r="B115" s="4">
        <f t="shared" si="1"/>
        <v>847</v>
      </c>
      <c r="C115" s="3">
        <v>5</v>
      </c>
      <c r="D115" s="3">
        <v>4</v>
      </c>
    </row>
    <row r="116" spans="1:4" x14ac:dyDescent="0.2">
      <c r="A116" s="5">
        <v>43229</v>
      </c>
      <c r="B116" s="4">
        <f t="shared" si="1"/>
        <v>860</v>
      </c>
      <c r="C116" s="3">
        <v>13</v>
      </c>
      <c r="D116" s="3">
        <v>10</v>
      </c>
    </row>
    <row r="117" spans="1:4" x14ac:dyDescent="0.2">
      <c r="A117" s="5">
        <v>43236</v>
      </c>
      <c r="B117" s="4">
        <f t="shared" si="1"/>
        <v>867</v>
      </c>
      <c r="C117" s="3">
        <v>7</v>
      </c>
      <c r="D117" s="3">
        <v>1</v>
      </c>
    </row>
    <row r="118" spans="1:4" x14ac:dyDescent="0.2">
      <c r="A118" s="5">
        <v>43237</v>
      </c>
      <c r="B118" s="4">
        <f t="shared" si="1"/>
        <v>868</v>
      </c>
      <c r="C118" s="3">
        <v>1</v>
      </c>
      <c r="D118" s="3">
        <v>2</v>
      </c>
    </row>
    <row r="119" spans="1:4" x14ac:dyDescent="0.2">
      <c r="A119" s="5">
        <v>43242</v>
      </c>
      <c r="B119" s="4">
        <f t="shared" si="1"/>
        <v>873</v>
      </c>
      <c r="C119" s="3">
        <v>5</v>
      </c>
      <c r="D119" s="3">
        <v>1</v>
      </c>
    </row>
    <row r="120" spans="1:4" x14ac:dyDescent="0.2">
      <c r="A120" s="5">
        <v>43247</v>
      </c>
      <c r="B120" s="4">
        <f t="shared" si="1"/>
        <v>878</v>
      </c>
      <c r="C120" s="3">
        <v>5</v>
      </c>
      <c r="D120" s="3">
        <v>12</v>
      </c>
    </row>
    <row r="121" spans="1:4" x14ac:dyDescent="0.2">
      <c r="A121" s="5">
        <v>43251</v>
      </c>
      <c r="B121" s="4">
        <f t="shared" si="1"/>
        <v>882</v>
      </c>
      <c r="C121" s="3">
        <v>4</v>
      </c>
      <c r="D121" s="3">
        <v>3</v>
      </c>
    </row>
    <row r="122" spans="1:4" x14ac:dyDescent="0.2">
      <c r="A122" s="5">
        <v>43255</v>
      </c>
      <c r="B122" s="4">
        <f t="shared" si="1"/>
        <v>886</v>
      </c>
      <c r="C122" s="3">
        <v>4</v>
      </c>
      <c r="D122" s="3">
        <v>2</v>
      </c>
    </row>
    <row r="123" spans="1:4" x14ac:dyDescent="0.2">
      <c r="A123" s="5">
        <v>43262</v>
      </c>
      <c r="B123" s="4">
        <f t="shared" si="1"/>
        <v>893</v>
      </c>
      <c r="C123" s="3">
        <v>7</v>
      </c>
      <c r="D123" s="3">
        <v>5</v>
      </c>
    </row>
    <row r="124" spans="1:4" x14ac:dyDescent="0.2">
      <c r="A124" s="5">
        <v>43271</v>
      </c>
      <c r="B124" s="4">
        <f t="shared" si="1"/>
        <v>902</v>
      </c>
      <c r="C124" s="3">
        <v>9</v>
      </c>
      <c r="D124" s="3">
        <v>2</v>
      </c>
    </row>
    <row r="125" spans="1:4" x14ac:dyDescent="0.2">
      <c r="A125" s="5">
        <v>43272</v>
      </c>
      <c r="B125" s="4">
        <f t="shared" si="1"/>
        <v>903</v>
      </c>
      <c r="C125" s="3">
        <v>1</v>
      </c>
      <c r="D125" s="3">
        <v>1</v>
      </c>
    </row>
    <row r="126" spans="1:4" x14ac:dyDescent="0.2">
      <c r="A126" s="5">
        <v>43273</v>
      </c>
      <c r="B126" s="4">
        <f t="shared" si="1"/>
        <v>904</v>
      </c>
      <c r="C126" s="3">
        <v>1</v>
      </c>
      <c r="D126" s="3">
        <v>1</v>
      </c>
    </row>
    <row r="127" spans="1:4" x14ac:dyDescent="0.2">
      <c r="A127" s="5">
        <v>43273</v>
      </c>
      <c r="B127" s="4">
        <f t="shared" si="1"/>
        <v>904</v>
      </c>
      <c r="C127" s="3">
        <v>0</v>
      </c>
      <c r="D127" s="3">
        <v>1</v>
      </c>
    </row>
    <row r="128" spans="1:4" x14ac:dyDescent="0.2">
      <c r="A128" s="5">
        <v>43274</v>
      </c>
      <c r="B128" s="4">
        <f t="shared" si="1"/>
        <v>905</v>
      </c>
      <c r="C128" s="3">
        <v>1</v>
      </c>
      <c r="D128" s="3">
        <v>3</v>
      </c>
    </row>
    <row r="129" spans="1:4" x14ac:dyDescent="0.2">
      <c r="A129" s="5">
        <v>43286</v>
      </c>
      <c r="B129" s="4">
        <f t="shared" si="1"/>
        <v>917</v>
      </c>
      <c r="C129" s="3">
        <v>12</v>
      </c>
      <c r="D129" s="3">
        <v>4</v>
      </c>
    </row>
    <row r="130" spans="1:4" x14ac:dyDescent="0.2">
      <c r="A130" s="5">
        <v>43293</v>
      </c>
      <c r="B130" s="4">
        <f t="shared" si="1"/>
        <v>924</v>
      </c>
      <c r="C130" s="3">
        <v>7</v>
      </c>
      <c r="D130" s="3">
        <v>6</v>
      </c>
    </row>
    <row r="131" spans="1:4" x14ac:dyDescent="0.2">
      <c r="A131" s="5">
        <v>43294</v>
      </c>
      <c r="B131" s="4">
        <f t="shared" si="1"/>
        <v>925</v>
      </c>
      <c r="C131" s="3">
        <v>1</v>
      </c>
      <c r="D131" s="3">
        <v>1</v>
      </c>
    </row>
    <row r="132" spans="1:4" x14ac:dyDescent="0.2">
      <c r="A132" s="5">
        <v>43297</v>
      </c>
      <c r="B132" s="4">
        <f t="shared" ref="B132:B150" si="2">_xlfn.DAYS(A132,$A$2)+1</f>
        <v>928</v>
      </c>
      <c r="C132" s="3">
        <v>3</v>
      </c>
      <c r="D132" s="3">
        <v>4</v>
      </c>
    </row>
    <row r="133" spans="1:4" x14ac:dyDescent="0.2">
      <c r="A133" s="5">
        <v>43305</v>
      </c>
      <c r="B133" s="4">
        <f t="shared" si="2"/>
        <v>936</v>
      </c>
      <c r="C133" s="3">
        <v>8</v>
      </c>
      <c r="D133" s="3">
        <v>2</v>
      </c>
    </row>
    <row r="134" spans="1:4" x14ac:dyDescent="0.2">
      <c r="A134" s="5">
        <v>43309</v>
      </c>
      <c r="B134" s="4">
        <f t="shared" si="2"/>
        <v>940</v>
      </c>
      <c r="C134" s="3">
        <v>4</v>
      </c>
      <c r="D134" s="3">
        <v>2</v>
      </c>
    </row>
    <row r="135" spans="1:4" x14ac:dyDescent="0.2">
      <c r="A135" s="5">
        <v>43316</v>
      </c>
      <c r="B135" s="4">
        <f t="shared" si="2"/>
        <v>947</v>
      </c>
      <c r="C135" s="3">
        <v>7</v>
      </c>
      <c r="D135" s="3">
        <v>2</v>
      </c>
    </row>
    <row r="136" spans="1:4" x14ac:dyDescent="0.2">
      <c r="A136" s="5">
        <v>43321</v>
      </c>
      <c r="B136" s="4">
        <f t="shared" si="2"/>
        <v>952</v>
      </c>
      <c r="C136" s="3">
        <v>5</v>
      </c>
      <c r="D136" s="3">
        <v>3</v>
      </c>
    </row>
    <row r="137" spans="1:4" x14ac:dyDescent="0.2">
      <c r="A137" s="5">
        <v>43338</v>
      </c>
      <c r="B137" s="4">
        <f t="shared" si="2"/>
        <v>969</v>
      </c>
      <c r="C137" s="3">
        <v>17</v>
      </c>
      <c r="D137" s="3">
        <v>2</v>
      </c>
    </row>
    <row r="138" spans="1:4" x14ac:dyDescent="0.2">
      <c r="A138" s="5">
        <v>43348</v>
      </c>
      <c r="B138" s="4">
        <f t="shared" si="2"/>
        <v>979</v>
      </c>
      <c r="C138" s="3">
        <v>10</v>
      </c>
      <c r="D138" s="3">
        <v>1</v>
      </c>
    </row>
    <row r="139" spans="1:4" x14ac:dyDescent="0.2">
      <c r="A139" s="5">
        <v>43351</v>
      </c>
      <c r="B139" s="4">
        <f t="shared" si="2"/>
        <v>982</v>
      </c>
      <c r="C139" s="3">
        <v>3</v>
      </c>
      <c r="D139" s="3">
        <v>2</v>
      </c>
    </row>
    <row r="140" spans="1:4" x14ac:dyDescent="0.2">
      <c r="A140" s="5">
        <v>43355</v>
      </c>
      <c r="B140" s="4">
        <f t="shared" si="2"/>
        <v>986</v>
      </c>
      <c r="C140" s="3">
        <v>4</v>
      </c>
      <c r="D140" s="3">
        <v>1</v>
      </c>
    </row>
    <row r="141" spans="1:4" x14ac:dyDescent="0.2">
      <c r="A141" s="5">
        <v>43361</v>
      </c>
      <c r="B141" s="4">
        <f t="shared" si="2"/>
        <v>992</v>
      </c>
      <c r="C141" s="3">
        <v>6</v>
      </c>
      <c r="D141" s="3">
        <v>1</v>
      </c>
    </row>
    <row r="142" spans="1:4" x14ac:dyDescent="0.2">
      <c r="A142" s="5">
        <v>43361</v>
      </c>
      <c r="B142" s="4">
        <f t="shared" si="2"/>
        <v>992</v>
      </c>
      <c r="C142" s="3">
        <v>0</v>
      </c>
      <c r="D142" s="3">
        <v>9</v>
      </c>
    </row>
    <row r="143" spans="1:4" x14ac:dyDescent="0.2">
      <c r="A143" s="5">
        <v>43378</v>
      </c>
      <c r="B143" s="4">
        <f t="shared" si="2"/>
        <v>1009</v>
      </c>
      <c r="C143" s="3">
        <v>17</v>
      </c>
      <c r="D143" s="3">
        <v>6</v>
      </c>
    </row>
    <row r="144" spans="1:4" x14ac:dyDescent="0.2">
      <c r="A144" s="5">
        <v>43385</v>
      </c>
      <c r="B144" s="4">
        <f t="shared" si="2"/>
        <v>1016</v>
      </c>
      <c r="C144" s="3">
        <v>7</v>
      </c>
      <c r="D144" s="3">
        <v>9</v>
      </c>
    </row>
    <row r="145" spans="1:4" x14ac:dyDescent="0.2">
      <c r="A145" s="5">
        <v>43399</v>
      </c>
      <c r="B145" s="4">
        <f t="shared" si="2"/>
        <v>1030</v>
      </c>
      <c r="C145" s="3">
        <v>14</v>
      </c>
      <c r="D145" s="3">
        <v>6</v>
      </c>
    </row>
    <row r="146" spans="1:4" x14ac:dyDescent="0.2">
      <c r="A146" s="5">
        <v>43408</v>
      </c>
      <c r="B146" s="4">
        <f t="shared" si="2"/>
        <v>1039</v>
      </c>
      <c r="C146" s="3">
        <v>9</v>
      </c>
      <c r="D146" s="3">
        <v>1</v>
      </c>
    </row>
    <row r="147" spans="1:4" x14ac:dyDescent="0.2">
      <c r="A147" s="5">
        <v>43449</v>
      </c>
      <c r="B147" s="4">
        <f t="shared" si="2"/>
        <v>1080</v>
      </c>
      <c r="C147" s="3">
        <v>41</v>
      </c>
      <c r="D147" s="3">
        <v>5</v>
      </c>
    </row>
    <row r="148" spans="1:4" x14ac:dyDescent="0.2">
      <c r="A148" s="5">
        <v>43451</v>
      </c>
      <c r="B148" s="4">
        <f t="shared" si="2"/>
        <v>1082</v>
      </c>
      <c r="C148" s="3">
        <v>2</v>
      </c>
      <c r="D148" s="3">
        <v>3</v>
      </c>
    </row>
    <row r="149" spans="1:4" x14ac:dyDescent="0.2">
      <c r="A149" s="5">
        <v>43455</v>
      </c>
      <c r="B149" s="4">
        <f t="shared" si="2"/>
        <v>1086</v>
      </c>
      <c r="C149" s="3">
        <v>4</v>
      </c>
      <c r="D149" s="3">
        <v>1</v>
      </c>
    </row>
    <row r="150" spans="1:4" x14ac:dyDescent="0.2">
      <c r="A150" s="5">
        <v>43460</v>
      </c>
      <c r="B150" s="4">
        <f t="shared" si="2"/>
        <v>1091</v>
      </c>
      <c r="C150" s="3">
        <v>5</v>
      </c>
      <c r="D150" s="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F15E-B0DF-F547-BFDB-564E068FE28B}">
  <sheetPr codeName="Sheet3"/>
  <dimension ref="A1:AE216"/>
  <sheetViews>
    <sheetView workbookViewId="0">
      <selection activeCell="I24" sqref="I24"/>
    </sheetView>
  </sheetViews>
  <sheetFormatPr baseColWidth="10" defaultColWidth="8.83203125" defaultRowHeight="15" x14ac:dyDescent="0.2"/>
  <cols>
    <col min="2" max="2" width="12.5" customWidth="1"/>
    <col min="3" max="3" width="10.5" customWidth="1"/>
    <col min="8" max="8" width="16.33203125" customWidth="1"/>
    <col min="9" max="9" width="15.6640625" customWidth="1"/>
  </cols>
  <sheetData>
    <row r="1" spans="1:31" x14ac:dyDescent="0.2">
      <c r="A1" t="s">
        <v>5</v>
      </c>
    </row>
    <row r="3" spans="1:31" x14ac:dyDescent="0.2">
      <c r="B3" t="s">
        <v>1</v>
      </c>
      <c r="D3" t="s">
        <v>0</v>
      </c>
      <c r="F3" t="s">
        <v>2</v>
      </c>
      <c r="I3" t="s">
        <v>4</v>
      </c>
    </row>
    <row r="4" spans="1:31" x14ac:dyDescent="0.2">
      <c r="B4" s="1">
        <v>42370</v>
      </c>
      <c r="C4" s="1"/>
      <c r="F4">
        <v>8</v>
      </c>
      <c r="I4">
        <v>0</v>
      </c>
      <c r="J4">
        <f>I4+1</f>
        <v>1</v>
      </c>
      <c r="K4">
        <f t="shared" ref="K4:AC4" si="0">J4+1</f>
        <v>2</v>
      </c>
      <c r="L4">
        <f t="shared" si="0"/>
        <v>3</v>
      </c>
      <c r="M4">
        <f t="shared" si="0"/>
        <v>4</v>
      </c>
      <c r="N4">
        <f t="shared" si="0"/>
        <v>5</v>
      </c>
      <c r="O4">
        <f t="shared" si="0"/>
        <v>6</v>
      </c>
      <c r="P4">
        <f t="shared" si="0"/>
        <v>7</v>
      </c>
      <c r="Q4">
        <f t="shared" si="0"/>
        <v>8</v>
      </c>
      <c r="R4">
        <f t="shared" si="0"/>
        <v>9</v>
      </c>
      <c r="S4">
        <f t="shared" si="0"/>
        <v>10</v>
      </c>
      <c r="T4">
        <f t="shared" si="0"/>
        <v>11</v>
      </c>
      <c r="U4">
        <f t="shared" si="0"/>
        <v>12</v>
      </c>
      <c r="V4">
        <f t="shared" si="0"/>
        <v>13</v>
      </c>
      <c r="W4">
        <f t="shared" si="0"/>
        <v>14</v>
      </c>
      <c r="X4">
        <f t="shared" si="0"/>
        <v>15</v>
      </c>
      <c r="Y4">
        <f t="shared" si="0"/>
        <v>16</v>
      </c>
      <c r="Z4">
        <f t="shared" si="0"/>
        <v>17</v>
      </c>
      <c r="AA4">
        <f t="shared" si="0"/>
        <v>18</v>
      </c>
      <c r="AB4">
        <f t="shared" si="0"/>
        <v>19</v>
      </c>
      <c r="AC4">
        <f t="shared" si="0"/>
        <v>20</v>
      </c>
      <c r="AD4" t="s">
        <v>3</v>
      </c>
    </row>
    <row r="5" spans="1:31" x14ac:dyDescent="0.2">
      <c r="B5" s="1">
        <v>42375</v>
      </c>
      <c r="C5" s="1"/>
      <c r="D5">
        <v>5</v>
      </c>
      <c r="F5">
        <v>10</v>
      </c>
      <c r="H5" t="s">
        <v>11</v>
      </c>
      <c r="I5">
        <f>COUNTIF($D$5:$D$216,I4)</f>
        <v>18</v>
      </c>
      <c r="J5">
        <f t="shared" ref="J5:AC5" si="1">COUNTIF($D$5:$D$216,J4)</f>
        <v>33</v>
      </c>
      <c r="K5">
        <f t="shared" si="1"/>
        <v>22</v>
      </c>
      <c r="L5">
        <f t="shared" si="1"/>
        <v>29</v>
      </c>
      <c r="M5">
        <f t="shared" si="1"/>
        <v>18</v>
      </c>
      <c r="N5">
        <f t="shared" si="1"/>
        <v>17</v>
      </c>
      <c r="O5">
        <f t="shared" si="1"/>
        <v>14</v>
      </c>
      <c r="P5">
        <f t="shared" si="1"/>
        <v>11</v>
      </c>
      <c r="Q5">
        <f t="shared" si="1"/>
        <v>7</v>
      </c>
      <c r="R5">
        <f t="shared" si="1"/>
        <v>10</v>
      </c>
      <c r="S5">
        <f t="shared" si="1"/>
        <v>7</v>
      </c>
      <c r="T5">
        <f t="shared" si="1"/>
        <v>6</v>
      </c>
      <c r="U5">
        <f t="shared" si="1"/>
        <v>5</v>
      </c>
      <c r="V5">
        <f t="shared" si="1"/>
        <v>2</v>
      </c>
      <c r="W5">
        <f t="shared" si="1"/>
        <v>5</v>
      </c>
      <c r="X5">
        <f t="shared" si="1"/>
        <v>2</v>
      </c>
      <c r="Y5">
        <f t="shared" si="1"/>
        <v>1</v>
      </c>
      <c r="Z5">
        <f t="shared" si="1"/>
        <v>0</v>
      </c>
      <c r="AA5">
        <f t="shared" si="1"/>
        <v>1</v>
      </c>
      <c r="AB5">
        <f t="shared" si="1"/>
        <v>1</v>
      </c>
      <c r="AC5">
        <f t="shared" si="1"/>
        <v>1</v>
      </c>
      <c r="AD5">
        <f>COUNT(D5:D216)-SUM(I5:AC5)</f>
        <v>2</v>
      </c>
      <c r="AE5">
        <f>SUM(I5:AD5)</f>
        <v>212</v>
      </c>
    </row>
    <row r="6" spans="1:31" x14ac:dyDescent="0.2">
      <c r="B6" s="1">
        <v>42377</v>
      </c>
      <c r="C6" s="1"/>
      <c r="D6">
        <v>2</v>
      </c>
      <c r="F6">
        <v>10</v>
      </c>
      <c r="H6" t="s">
        <v>27</v>
      </c>
      <c r="I6">
        <f>I5/SUM($I$5:$AD$5)</f>
        <v>8.4905660377358486E-2</v>
      </c>
      <c r="J6">
        <f t="shared" ref="J6:AC6" si="2">J5/SUM($I$5:$AD$5)</f>
        <v>0.15566037735849056</v>
      </c>
      <c r="K6">
        <f t="shared" si="2"/>
        <v>0.10377358490566038</v>
      </c>
      <c r="L6">
        <f t="shared" si="2"/>
        <v>0.13679245283018868</v>
      </c>
      <c r="M6">
        <f t="shared" si="2"/>
        <v>8.4905660377358486E-2</v>
      </c>
      <c r="N6">
        <f t="shared" si="2"/>
        <v>8.0188679245283015E-2</v>
      </c>
      <c r="O6">
        <f t="shared" si="2"/>
        <v>6.6037735849056603E-2</v>
      </c>
      <c r="P6">
        <f t="shared" si="2"/>
        <v>5.1886792452830191E-2</v>
      </c>
      <c r="Q6">
        <f t="shared" si="2"/>
        <v>3.3018867924528301E-2</v>
      </c>
      <c r="R6">
        <f t="shared" si="2"/>
        <v>4.716981132075472E-2</v>
      </c>
      <c r="S6">
        <f t="shared" si="2"/>
        <v>3.3018867924528301E-2</v>
      </c>
      <c r="T6">
        <f t="shared" si="2"/>
        <v>2.8301886792452831E-2</v>
      </c>
      <c r="U6">
        <f t="shared" si="2"/>
        <v>2.358490566037736E-2</v>
      </c>
      <c r="V6">
        <f t="shared" si="2"/>
        <v>9.433962264150943E-3</v>
      </c>
      <c r="W6">
        <f t="shared" si="2"/>
        <v>2.358490566037736E-2</v>
      </c>
      <c r="X6">
        <f t="shared" si="2"/>
        <v>9.433962264150943E-3</v>
      </c>
      <c r="Y6">
        <f t="shared" si="2"/>
        <v>4.7169811320754715E-3</v>
      </c>
      <c r="Z6">
        <f t="shared" si="2"/>
        <v>0</v>
      </c>
      <c r="AA6">
        <f t="shared" si="2"/>
        <v>4.7169811320754715E-3</v>
      </c>
      <c r="AB6">
        <f t="shared" si="2"/>
        <v>4.7169811320754715E-3</v>
      </c>
      <c r="AC6">
        <f t="shared" si="2"/>
        <v>4.7169811320754715E-3</v>
      </c>
    </row>
    <row r="7" spans="1:31" x14ac:dyDescent="0.2">
      <c r="B7" s="1">
        <v>42380</v>
      </c>
      <c r="C7" s="1"/>
      <c r="D7">
        <v>3</v>
      </c>
      <c r="F7">
        <v>7</v>
      </c>
      <c r="H7" t="s">
        <v>32</v>
      </c>
      <c r="I7">
        <f>I6</f>
        <v>8.4905660377358486E-2</v>
      </c>
      <c r="J7">
        <f>I7+J6</f>
        <v>0.24056603773584906</v>
      </c>
      <c r="K7">
        <f t="shared" ref="K7:AC7" si="3">J7+K6</f>
        <v>0.34433962264150941</v>
      </c>
      <c r="L7">
        <f t="shared" si="3"/>
        <v>0.48113207547169812</v>
      </c>
      <c r="M7">
        <f t="shared" si="3"/>
        <v>0.56603773584905659</v>
      </c>
      <c r="N7">
        <f t="shared" si="3"/>
        <v>0.64622641509433965</v>
      </c>
      <c r="O7">
        <f t="shared" si="3"/>
        <v>0.71226415094339623</v>
      </c>
      <c r="P7">
        <f t="shared" si="3"/>
        <v>0.76415094339622647</v>
      </c>
      <c r="Q7">
        <f t="shared" si="3"/>
        <v>0.79716981132075482</v>
      </c>
      <c r="R7">
        <f t="shared" si="3"/>
        <v>0.84433962264150952</v>
      </c>
      <c r="S7">
        <f t="shared" si="3"/>
        <v>0.87735849056603787</v>
      </c>
      <c r="T7">
        <f t="shared" si="3"/>
        <v>0.9056603773584907</v>
      </c>
      <c r="U7">
        <f t="shared" si="3"/>
        <v>0.92924528301886811</v>
      </c>
      <c r="V7">
        <f t="shared" si="3"/>
        <v>0.93867924528301905</v>
      </c>
      <c r="W7">
        <f t="shared" si="3"/>
        <v>0.96226415094339646</v>
      </c>
      <c r="X7">
        <f t="shared" si="3"/>
        <v>0.9716981132075474</v>
      </c>
      <c r="Y7">
        <f t="shared" si="3"/>
        <v>0.97641509433962292</v>
      </c>
      <c r="Z7">
        <f t="shared" si="3"/>
        <v>0.97641509433962292</v>
      </c>
      <c r="AA7">
        <f t="shared" si="3"/>
        <v>0.98113207547169845</v>
      </c>
      <c r="AB7">
        <f t="shared" si="3"/>
        <v>0.98584905660377398</v>
      </c>
      <c r="AC7">
        <f t="shared" si="3"/>
        <v>0.9905660377358495</v>
      </c>
    </row>
    <row r="8" spans="1:31" x14ac:dyDescent="0.2">
      <c r="B8" s="1">
        <v>42391</v>
      </c>
      <c r="C8" s="1"/>
      <c r="D8">
        <v>11</v>
      </c>
      <c r="F8">
        <v>9</v>
      </c>
    </row>
    <row r="9" spans="1:31" x14ac:dyDescent="0.2">
      <c r="B9" s="1">
        <v>42401</v>
      </c>
      <c r="C9" s="1"/>
      <c r="D9">
        <v>10</v>
      </c>
      <c r="F9">
        <v>8</v>
      </c>
      <c r="I9" t="s">
        <v>6</v>
      </c>
    </row>
    <row r="10" spans="1:31" x14ac:dyDescent="0.2">
      <c r="B10" s="1">
        <v>42405</v>
      </c>
      <c r="C10" s="1"/>
      <c r="D10">
        <v>4</v>
      </c>
      <c r="F10">
        <v>8</v>
      </c>
      <c r="I10">
        <f>(SUMPRODUCT(I4:AC4,I5:AC5)+25*AD5)/SUM(I5:AD5)</f>
        <v>5.0613207547169807</v>
      </c>
    </row>
    <row r="11" spans="1:31" x14ac:dyDescent="0.2">
      <c r="B11" s="1">
        <v>42406</v>
      </c>
      <c r="C11" s="1"/>
      <c r="D11">
        <v>1</v>
      </c>
      <c r="F11">
        <v>7</v>
      </c>
    </row>
    <row r="12" spans="1:31" x14ac:dyDescent="0.2">
      <c r="B12" s="1">
        <v>42413</v>
      </c>
      <c r="C12" s="1"/>
      <c r="D12">
        <v>7</v>
      </c>
      <c r="F12">
        <v>9</v>
      </c>
      <c r="I12" t="s">
        <v>8</v>
      </c>
    </row>
    <row r="13" spans="1:31" x14ac:dyDescent="0.2">
      <c r="B13" s="1">
        <v>42414</v>
      </c>
      <c r="C13" s="1"/>
      <c r="D13">
        <v>1</v>
      </c>
      <c r="F13">
        <v>8</v>
      </c>
      <c r="H13" t="s">
        <v>28</v>
      </c>
      <c r="I13">
        <f>1/I10</f>
        <v>0.19757688723205966</v>
      </c>
      <c r="J13" t="s">
        <v>9</v>
      </c>
    </row>
    <row r="14" spans="1:31" x14ac:dyDescent="0.2">
      <c r="B14" s="1">
        <v>42417</v>
      </c>
      <c r="C14" s="1"/>
      <c r="D14">
        <v>3</v>
      </c>
      <c r="F14">
        <v>11</v>
      </c>
    </row>
    <row r="15" spans="1:31" x14ac:dyDescent="0.2">
      <c r="B15" s="1">
        <v>42431</v>
      </c>
      <c r="C15" s="1"/>
      <c r="D15">
        <v>14</v>
      </c>
      <c r="F15">
        <v>7</v>
      </c>
      <c r="H15" t="s">
        <v>33</v>
      </c>
      <c r="I15">
        <f>1-EXP(-$I$13*J4)</f>
        <v>0.17928296445939884</v>
      </c>
      <c r="J15">
        <f t="shared" ref="J15:AB15" si="4">1-EXP(-$I$13*K4)</f>
        <v>0.3264235475734476</v>
      </c>
      <c r="K15">
        <f t="shared" si="4"/>
        <v>0.44718433075452513</v>
      </c>
      <c r="L15">
        <f t="shared" si="4"/>
        <v>0.54629476273646038</v>
      </c>
      <c r="M15">
        <f t="shared" si="4"/>
        <v>0.62763638266382271</v>
      </c>
      <c r="N15">
        <f t="shared" si="4"/>
        <v>0.69439483583667772</v>
      </c>
      <c r="O15">
        <f t="shared" si="4"/>
        <v>0.74918463562197934</v>
      </c>
      <c r="P15">
        <f t="shared" si="4"/>
        <v>0.79415155767963519</v>
      </c>
      <c r="Q15">
        <f t="shared" si="4"/>
        <v>0.83105667664817973</v>
      </c>
      <c r="R15">
        <f t="shared" si="4"/>
        <v>0.86134533648431688</v>
      </c>
      <c r="S15">
        <f t="shared" si="4"/>
        <v>0.886203755595529</v>
      </c>
      <c r="T15">
        <f t="shared" si="4"/>
        <v>0.90660548363670879</v>
      </c>
      <c r="U15">
        <f t="shared" si="4"/>
        <v>0.92334952939457149</v>
      </c>
      <c r="V15">
        <f t="shared" si="4"/>
        <v>0.93709165299192076</v>
      </c>
      <c r="W15">
        <f t="shared" si="4"/>
        <v>0.94837004793276969</v>
      </c>
      <c r="X15">
        <f t="shared" si="4"/>
        <v>0.95762641879427945</v>
      </c>
      <c r="Y15">
        <f t="shared" si="4"/>
        <v>0.96522328004760205</v>
      </c>
      <c r="Z15">
        <f t="shared" si="4"/>
        <v>0.97145815349484232</v>
      </c>
      <c r="AA15">
        <f t="shared" si="4"/>
        <v>0.97657522034743216</v>
      </c>
      <c r="AB15">
        <f t="shared" si="4"/>
        <v>0.98077488428535264</v>
      </c>
    </row>
    <row r="16" spans="1:31" x14ac:dyDescent="0.2">
      <c r="B16" s="1">
        <v>42432</v>
      </c>
      <c r="C16" s="1"/>
      <c r="D16">
        <v>1</v>
      </c>
      <c r="F16">
        <v>6</v>
      </c>
      <c r="H16" t="s">
        <v>34</v>
      </c>
    </row>
    <row r="17" spans="2:22" x14ac:dyDescent="0.2">
      <c r="B17" s="1">
        <v>42438</v>
      </c>
      <c r="C17" s="1"/>
      <c r="D17">
        <v>6</v>
      </c>
      <c r="F17">
        <v>5</v>
      </c>
    </row>
    <row r="18" spans="2:22" x14ac:dyDescent="0.2">
      <c r="B18" s="1">
        <v>42443</v>
      </c>
      <c r="C18" s="1"/>
      <c r="D18">
        <v>5</v>
      </c>
      <c r="F18">
        <v>11</v>
      </c>
    </row>
    <row r="19" spans="2:22" x14ac:dyDescent="0.2">
      <c r="B19" s="1">
        <v>42448</v>
      </c>
      <c r="C19" s="1"/>
      <c r="D19">
        <v>5</v>
      </c>
      <c r="F19">
        <v>8</v>
      </c>
    </row>
    <row r="20" spans="2:22" x14ac:dyDescent="0.2">
      <c r="B20" s="1">
        <v>42451</v>
      </c>
      <c r="C20" s="1"/>
      <c r="D20">
        <v>3</v>
      </c>
      <c r="F20">
        <v>9</v>
      </c>
    </row>
    <row r="21" spans="2:22" x14ac:dyDescent="0.2">
      <c r="B21" s="1">
        <v>42452</v>
      </c>
      <c r="C21" s="1"/>
      <c r="D21">
        <v>1</v>
      </c>
      <c r="F21">
        <v>9</v>
      </c>
    </row>
    <row r="22" spans="2:22" x14ac:dyDescent="0.2">
      <c r="B22" s="1">
        <v>42454</v>
      </c>
      <c r="C22" s="1"/>
      <c r="D22">
        <v>2</v>
      </c>
      <c r="F22">
        <v>9</v>
      </c>
    </row>
    <row r="23" spans="2:22" x14ac:dyDescent="0.2">
      <c r="B23" s="1">
        <v>42459</v>
      </c>
      <c r="C23" s="1"/>
      <c r="D23">
        <v>5</v>
      </c>
      <c r="F23">
        <v>6</v>
      </c>
    </row>
    <row r="24" spans="2:22" x14ac:dyDescent="0.2">
      <c r="B24" s="1">
        <v>42464</v>
      </c>
      <c r="C24" s="1"/>
      <c r="D24">
        <v>5</v>
      </c>
      <c r="F24">
        <v>9</v>
      </c>
      <c r="I24" t="s">
        <v>10</v>
      </c>
    </row>
    <row r="25" spans="2:22" x14ac:dyDescent="0.2">
      <c r="B25" s="1">
        <v>42465</v>
      </c>
      <c r="C25" s="1"/>
      <c r="D25">
        <v>1</v>
      </c>
      <c r="F25">
        <v>5</v>
      </c>
      <c r="I25">
        <v>1</v>
      </c>
      <c r="J25">
        <f>I25+1</f>
        <v>2</v>
      </c>
      <c r="K25">
        <f t="shared" ref="K25:U25" si="5">J25+1</f>
        <v>3</v>
      </c>
      <c r="L25">
        <f t="shared" si="5"/>
        <v>4</v>
      </c>
      <c r="M25">
        <f t="shared" si="5"/>
        <v>5</v>
      </c>
      <c r="N25">
        <f t="shared" si="5"/>
        <v>6</v>
      </c>
      <c r="O25">
        <f t="shared" si="5"/>
        <v>7</v>
      </c>
      <c r="P25">
        <f t="shared" si="5"/>
        <v>8</v>
      </c>
      <c r="Q25">
        <f t="shared" si="5"/>
        <v>9</v>
      </c>
      <c r="R25">
        <f t="shared" si="5"/>
        <v>10</v>
      </c>
      <c r="S25">
        <f t="shared" si="5"/>
        <v>11</v>
      </c>
      <c r="T25">
        <f t="shared" si="5"/>
        <v>12</v>
      </c>
      <c r="U25">
        <f t="shared" si="5"/>
        <v>13</v>
      </c>
    </row>
    <row r="26" spans="2:22" x14ac:dyDescent="0.2">
      <c r="B26" s="1">
        <v>42474</v>
      </c>
      <c r="C26" s="1"/>
      <c r="D26">
        <v>9</v>
      </c>
      <c r="F26">
        <v>6</v>
      </c>
      <c r="H26" t="s">
        <v>11</v>
      </c>
      <c r="I26">
        <f>COUNTIF($F$4:$F$216,I25)</f>
        <v>0</v>
      </c>
      <c r="J26">
        <f t="shared" ref="J26:U26" si="6">COUNTIF($F$4:$F$216,J25)</f>
        <v>0</v>
      </c>
      <c r="K26">
        <f t="shared" si="6"/>
        <v>0</v>
      </c>
      <c r="L26">
        <f t="shared" si="6"/>
        <v>6</v>
      </c>
      <c r="M26">
        <f t="shared" si="6"/>
        <v>15</v>
      </c>
      <c r="N26">
        <f t="shared" si="6"/>
        <v>19</v>
      </c>
      <c r="O26">
        <f t="shared" si="6"/>
        <v>28</v>
      </c>
      <c r="P26">
        <f t="shared" si="6"/>
        <v>36</v>
      </c>
      <c r="Q26">
        <f t="shared" si="6"/>
        <v>29</v>
      </c>
      <c r="R26">
        <f t="shared" si="6"/>
        <v>40</v>
      </c>
      <c r="S26">
        <f t="shared" si="6"/>
        <v>21</v>
      </c>
      <c r="T26">
        <f t="shared" si="6"/>
        <v>9</v>
      </c>
      <c r="U26">
        <f t="shared" si="6"/>
        <v>10</v>
      </c>
      <c r="V26">
        <f>SUM(I26:U26)</f>
        <v>213</v>
      </c>
    </row>
    <row r="27" spans="2:22" x14ac:dyDescent="0.2">
      <c r="B27" s="1">
        <v>42477</v>
      </c>
      <c r="C27" s="1"/>
      <c r="D27">
        <v>3</v>
      </c>
      <c r="F27">
        <v>10</v>
      </c>
      <c r="H27" t="s">
        <v>12</v>
      </c>
      <c r="I27">
        <f>I26/SUM($I$26:$U$26)</f>
        <v>0</v>
      </c>
      <c r="J27">
        <f t="shared" ref="J27:U27" si="7">J26/SUM($I$26:$U$26)</f>
        <v>0</v>
      </c>
      <c r="K27">
        <f t="shared" si="7"/>
        <v>0</v>
      </c>
      <c r="L27">
        <f t="shared" si="7"/>
        <v>2.8169014084507043E-2</v>
      </c>
      <c r="M27">
        <f t="shared" si="7"/>
        <v>7.0422535211267609E-2</v>
      </c>
      <c r="N27">
        <f t="shared" si="7"/>
        <v>8.9201877934272297E-2</v>
      </c>
      <c r="O27">
        <f t="shared" si="7"/>
        <v>0.13145539906103287</v>
      </c>
      <c r="P27">
        <f t="shared" si="7"/>
        <v>0.16901408450704225</v>
      </c>
      <c r="Q27">
        <f t="shared" si="7"/>
        <v>0.13615023474178403</v>
      </c>
      <c r="R27">
        <f t="shared" si="7"/>
        <v>0.18779342723004694</v>
      </c>
      <c r="S27">
        <f t="shared" si="7"/>
        <v>9.8591549295774641E-2</v>
      </c>
      <c r="T27">
        <f t="shared" si="7"/>
        <v>4.2253521126760563E-2</v>
      </c>
      <c r="U27">
        <f t="shared" si="7"/>
        <v>4.6948356807511735E-2</v>
      </c>
    </row>
    <row r="28" spans="2:22" x14ac:dyDescent="0.2">
      <c r="B28" s="1">
        <v>42481</v>
      </c>
      <c r="C28" s="1"/>
      <c r="D28">
        <v>4</v>
      </c>
      <c r="F28">
        <v>12</v>
      </c>
    </row>
    <row r="29" spans="2:22" x14ac:dyDescent="0.2">
      <c r="B29" s="1">
        <v>42485</v>
      </c>
      <c r="C29" s="1"/>
      <c r="D29">
        <v>4</v>
      </c>
      <c r="F29">
        <v>11</v>
      </c>
      <c r="H29" t="s">
        <v>21</v>
      </c>
      <c r="I29">
        <f>SUMPRODUCT(I25:U25,I27:U27)</f>
        <v>8.577464788732394</v>
      </c>
    </row>
    <row r="30" spans="2:22" x14ac:dyDescent="0.2">
      <c r="B30" s="1">
        <v>42487</v>
      </c>
      <c r="C30" s="1"/>
      <c r="D30">
        <v>2</v>
      </c>
      <c r="F30">
        <v>4</v>
      </c>
    </row>
    <row r="31" spans="2:22" x14ac:dyDescent="0.2">
      <c r="B31" s="1">
        <v>42493</v>
      </c>
      <c r="C31" s="1"/>
      <c r="D31">
        <v>6</v>
      </c>
      <c r="F31">
        <v>4</v>
      </c>
      <c r="I31" t="s">
        <v>25</v>
      </c>
    </row>
    <row r="32" spans="2:22" x14ac:dyDescent="0.2">
      <c r="B32" s="1">
        <v>42495</v>
      </c>
      <c r="C32" s="1"/>
      <c r="D32">
        <v>2</v>
      </c>
      <c r="F32">
        <v>13</v>
      </c>
      <c r="I32" t="s">
        <v>24</v>
      </c>
      <c r="J32">
        <v>0.95</v>
      </c>
    </row>
    <row r="33" spans="2:11" x14ac:dyDescent="0.2">
      <c r="B33" s="1">
        <v>42507</v>
      </c>
      <c r="C33" s="1"/>
      <c r="D33">
        <v>12</v>
      </c>
      <c r="F33">
        <v>10</v>
      </c>
      <c r="I33" t="s">
        <v>19</v>
      </c>
      <c r="J33">
        <v>50</v>
      </c>
    </row>
    <row r="34" spans="2:11" x14ac:dyDescent="0.2">
      <c r="B34" s="1">
        <v>42511</v>
      </c>
      <c r="C34" s="1"/>
      <c r="D34">
        <v>4</v>
      </c>
      <c r="F34">
        <v>10</v>
      </c>
    </row>
    <row r="35" spans="2:11" x14ac:dyDescent="0.2">
      <c r="B35" s="1">
        <v>42527</v>
      </c>
      <c r="C35" s="1"/>
      <c r="D35">
        <v>16</v>
      </c>
      <c r="F35">
        <v>12</v>
      </c>
      <c r="I35" t="s">
        <v>20</v>
      </c>
      <c r="J35">
        <v>7</v>
      </c>
      <c r="K35" t="s">
        <v>7</v>
      </c>
    </row>
    <row r="36" spans="2:11" x14ac:dyDescent="0.2">
      <c r="B36" s="1">
        <v>42527</v>
      </c>
      <c r="C36" s="1"/>
      <c r="D36">
        <v>0</v>
      </c>
      <c r="F36">
        <v>5</v>
      </c>
    </row>
    <row r="37" spans="2:11" x14ac:dyDescent="0.2">
      <c r="B37" s="1">
        <v>42528</v>
      </c>
      <c r="C37" s="1"/>
      <c r="D37">
        <v>1</v>
      </c>
      <c r="F37">
        <v>13</v>
      </c>
    </row>
    <row r="38" spans="2:11" x14ac:dyDescent="0.2">
      <c r="B38" s="1">
        <v>42543</v>
      </c>
      <c r="C38" s="1"/>
      <c r="D38">
        <v>15</v>
      </c>
      <c r="F38">
        <v>10</v>
      </c>
    </row>
    <row r="39" spans="2:11" x14ac:dyDescent="0.2">
      <c r="B39" s="1">
        <v>42546</v>
      </c>
      <c r="C39" s="1"/>
      <c r="D39">
        <v>3</v>
      </c>
      <c r="F39">
        <v>10</v>
      </c>
    </row>
    <row r="40" spans="2:11" x14ac:dyDescent="0.2">
      <c r="B40" s="1">
        <v>42549</v>
      </c>
      <c r="C40" s="1"/>
      <c r="D40">
        <v>3</v>
      </c>
      <c r="F40">
        <v>9</v>
      </c>
    </row>
    <row r="41" spans="2:11" x14ac:dyDescent="0.2">
      <c r="B41" s="1">
        <v>42551</v>
      </c>
      <c r="C41" s="1"/>
      <c r="D41">
        <v>2</v>
      </c>
      <c r="F41">
        <v>7</v>
      </c>
    </row>
    <row r="42" spans="2:11" x14ac:dyDescent="0.2">
      <c r="B42" s="1">
        <v>42554</v>
      </c>
      <c r="C42" s="1"/>
      <c r="D42">
        <v>3</v>
      </c>
      <c r="F42">
        <v>12</v>
      </c>
    </row>
    <row r="43" spans="2:11" x14ac:dyDescent="0.2">
      <c r="B43" s="1">
        <v>42560</v>
      </c>
      <c r="C43" s="1"/>
      <c r="D43">
        <v>6</v>
      </c>
      <c r="F43">
        <v>13</v>
      </c>
    </row>
    <row r="44" spans="2:11" x14ac:dyDescent="0.2">
      <c r="B44" s="1">
        <v>42563</v>
      </c>
      <c r="C44" s="1"/>
      <c r="D44">
        <v>3</v>
      </c>
      <c r="F44">
        <v>6</v>
      </c>
    </row>
    <row r="45" spans="2:11" x14ac:dyDescent="0.2">
      <c r="B45" s="1">
        <v>42566</v>
      </c>
      <c r="C45" s="1"/>
      <c r="D45">
        <v>3</v>
      </c>
      <c r="F45">
        <v>6</v>
      </c>
    </row>
    <row r="46" spans="2:11" x14ac:dyDescent="0.2">
      <c r="B46" s="1">
        <v>42568</v>
      </c>
      <c r="C46" s="1"/>
      <c r="D46">
        <v>2</v>
      </c>
      <c r="F46">
        <v>7</v>
      </c>
    </row>
    <row r="47" spans="2:11" x14ac:dyDescent="0.2">
      <c r="B47" s="1">
        <v>42569</v>
      </c>
      <c r="C47" s="1"/>
      <c r="D47">
        <v>1</v>
      </c>
      <c r="F47">
        <v>11</v>
      </c>
    </row>
    <row r="48" spans="2:11" x14ac:dyDescent="0.2">
      <c r="B48" s="1">
        <v>42577</v>
      </c>
      <c r="C48" s="1"/>
      <c r="D48">
        <v>8</v>
      </c>
      <c r="F48">
        <v>8</v>
      </c>
    </row>
    <row r="49" spans="2:6" x14ac:dyDescent="0.2">
      <c r="B49" s="1">
        <v>42578</v>
      </c>
      <c r="C49" s="1"/>
      <c r="D49">
        <v>1</v>
      </c>
      <c r="F49">
        <v>5</v>
      </c>
    </row>
    <row r="50" spans="2:6" x14ac:dyDescent="0.2">
      <c r="B50" s="1">
        <v>42579</v>
      </c>
      <c r="C50" s="1"/>
      <c r="D50">
        <v>1</v>
      </c>
      <c r="F50">
        <v>8</v>
      </c>
    </row>
    <row r="51" spans="2:6" x14ac:dyDescent="0.2">
      <c r="B51" s="1">
        <v>42580</v>
      </c>
      <c r="C51" s="1"/>
      <c r="D51">
        <v>1</v>
      </c>
      <c r="F51">
        <v>13</v>
      </c>
    </row>
    <row r="52" spans="2:6" x14ac:dyDescent="0.2">
      <c r="B52" s="1">
        <v>42583</v>
      </c>
      <c r="C52" s="1"/>
      <c r="D52">
        <v>3</v>
      </c>
      <c r="F52">
        <v>8</v>
      </c>
    </row>
    <row r="53" spans="2:6" x14ac:dyDescent="0.2">
      <c r="B53" s="1">
        <v>42584</v>
      </c>
      <c r="C53" s="1"/>
      <c r="D53">
        <v>1</v>
      </c>
      <c r="F53">
        <v>9</v>
      </c>
    </row>
    <row r="54" spans="2:6" x14ac:dyDescent="0.2">
      <c r="B54" s="1">
        <v>42593</v>
      </c>
      <c r="C54" s="1"/>
      <c r="D54">
        <v>9</v>
      </c>
      <c r="F54">
        <v>8</v>
      </c>
    </row>
    <row r="55" spans="2:6" x14ac:dyDescent="0.2">
      <c r="B55" s="1">
        <v>42603</v>
      </c>
      <c r="C55" s="1"/>
      <c r="D55">
        <v>10</v>
      </c>
      <c r="F55">
        <v>8</v>
      </c>
    </row>
    <row r="56" spans="2:6" x14ac:dyDescent="0.2">
      <c r="B56" s="1">
        <v>42608</v>
      </c>
      <c r="C56" s="1"/>
      <c r="D56">
        <v>5</v>
      </c>
      <c r="F56">
        <v>5</v>
      </c>
    </row>
    <row r="57" spans="2:6" x14ac:dyDescent="0.2">
      <c r="B57" s="1">
        <v>42615</v>
      </c>
      <c r="C57" s="1"/>
      <c r="D57">
        <v>7</v>
      </c>
      <c r="F57">
        <v>10</v>
      </c>
    </row>
    <row r="58" spans="2:6" x14ac:dyDescent="0.2">
      <c r="B58" s="1">
        <v>42636</v>
      </c>
      <c r="C58" s="1"/>
      <c r="D58">
        <v>21</v>
      </c>
      <c r="F58">
        <v>10</v>
      </c>
    </row>
    <row r="59" spans="2:6" x14ac:dyDescent="0.2">
      <c r="B59" s="1">
        <v>42644</v>
      </c>
      <c r="C59" s="1"/>
      <c r="D59">
        <v>8</v>
      </c>
      <c r="F59">
        <v>10</v>
      </c>
    </row>
    <row r="60" spans="2:6" x14ac:dyDescent="0.2">
      <c r="B60" s="1">
        <v>42644</v>
      </c>
      <c r="C60" s="1"/>
      <c r="D60">
        <v>0</v>
      </c>
      <c r="F60">
        <v>5</v>
      </c>
    </row>
    <row r="61" spans="2:6" x14ac:dyDescent="0.2">
      <c r="B61" s="1">
        <v>42651</v>
      </c>
      <c r="C61" s="1"/>
      <c r="D61">
        <v>7</v>
      </c>
      <c r="F61">
        <v>6</v>
      </c>
    </row>
    <row r="62" spans="2:6" x14ac:dyDescent="0.2">
      <c r="B62" s="1">
        <v>42662</v>
      </c>
      <c r="C62" s="1"/>
      <c r="D62">
        <v>11</v>
      </c>
      <c r="F62">
        <v>9</v>
      </c>
    </row>
    <row r="63" spans="2:6" x14ac:dyDescent="0.2">
      <c r="B63" s="1">
        <v>42671</v>
      </c>
      <c r="C63" s="1"/>
      <c r="D63">
        <v>9</v>
      </c>
      <c r="F63">
        <v>10</v>
      </c>
    </row>
    <row r="64" spans="2:6" x14ac:dyDescent="0.2">
      <c r="B64" s="1">
        <v>42680</v>
      </c>
      <c r="C64" s="1"/>
      <c r="D64">
        <v>9</v>
      </c>
      <c r="F64">
        <v>10</v>
      </c>
    </row>
    <row r="65" spans="2:6" x14ac:dyDescent="0.2">
      <c r="B65" s="1">
        <v>42682</v>
      </c>
      <c r="C65" s="1"/>
      <c r="D65">
        <v>2</v>
      </c>
      <c r="F65">
        <v>12</v>
      </c>
    </row>
    <row r="66" spans="2:6" x14ac:dyDescent="0.2">
      <c r="B66" s="1">
        <v>42696</v>
      </c>
      <c r="C66" s="1"/>
      <c r="D66">
        <v>14</v>
      </c>
      <c r="F66">
        <v>7</v>
      </c>
    </row>
    <row r="67" spans="2:6" x14ac:dyDescent="0.2">
      <c r="B67" s="1">
        <v>42702</v>
      </c>
      <c r="C67" s="1"/>
      <c r="D67">
        <v>6</v>
      </c>
      <c r="F67">
        <v>5</v>
      </c>
    </row>
    <row r="68" spans="2:6" x14ac:dyDescent="0.2">
      <c r="B68" s="1">
        <v>42704</v>
      </c>
      <c r="C68" s="1"/>
      <c r="D68">
        <v>2</v>
      </c>
      <c r="F68">
        <v>9</v>
      </c>
    </row>
    <row r="69" spans="2:6" x14ac:dyDescent="0.2">
      <c r="B69" s="1">
        <v>42712</v>
      </c>
      <c r="C69" s="1"/>
      <c r="D69">
        <v>8</v>
      </c>
      <c r="F69">
        <v>6</v>
      </c>
    </row>
    <row r="70" spans="2:6" x14ac:dyDescent="0.2">
      <c r="B70" s="1">
        <v>42722</v>
      </c>
      <c r="C70" s="1"/>
      <c r="D70">
        <v>10</v>
      </c>
      <c r="F70">
        <v>9</v>
      </c>
    </row>
    <row r="71" spans="2:6" x14ac:dyDescent="0.2">
      <c r="B71" s="1">
        <v>42722</v>
      </c>
      <c r="C71" s="1"/>
      <c r="D71">
        <v>0</v>
      </c>
      <c r="F71">
        <v>8</v>
      </c>
    </row>
    <row r="72" spans="2:6" x14ac:dyDescent="0.2">
      <c r="B72" s="1">
        <v>42730</v>
      </c>
      <c r="C72" s="1"/>
      <c r="D72">
        <v>8</v>
      </c>
      <c r="F72">
        <v>8</v>
      </c>
    </row>
    <row r="73" spans="2:6" x14ac:dyDescent="0.2">
      <c r="B73" s="1">
        <v>42763</v>
      </c>
      <c r="C73" s="1"/>
      <c r="D73">
        <v>33</v>
      </c>
      <c r="F73">
        <v>6</v>
      </c>
    </row>
    <row r="74" spans="2:6" x14ac:dyDescent="0.2">
      <c r="B74" s="1">
        <v>42763</v>
      </c>
      <c r="C74" s="1"/>
      <c r="D74">
        <v>0</v>
      </c>
      <c r="F74">
        <v>8</v>
      </c>
    </row>
    <row r="75" spans="2:6" x14ac:dyDescent="0.2">
      <c r="B75" s="1">
        <v>42768</v>
      </c>
      <c r="C75" s="1"/>
      <c r="D75">
        <v>5</v>
      </c>
      <c r="F75">
        <v>10</v>
      </c>
    </row>
    <row r="76" spans="2:6" x14ac:dyDescent="0.2">
      <c r="B76" s="1">
        <v>42768</v>
      </c>
      <c r="C76" s="1"/>
      <c r="D76">
        <v>0</v>
      </c>
      <c r="F76">
        <v>11</v>
      </c>
    </row>
    <row r="77" spans="2:6" x14ac:dyDescent="0.2">
      <c r="B77" s="1">
        <v>42769</v>
      </c>
      <c r="C77" s="1"/>
      <c r="D77">
        <v>1</v>
      </c>
      <c r="F77">
        <v>7</v>
      </c>
    </row>
    <row r="78" spans="2:6" x14ac:dyDescent="0.2">
      <c r="B78" s="1">
        <v>42775</v>
      </c>
      <c r="C78" s="1"/>
      <c r="D78">
        <v>6</v>
      </c>
      <c r="F78">
        <v>13</v>
      </c>
    </row>
    <row r="79" spans="2:6" x14ac:dyDescent="0.2">
      <c r="B79" s="1">
        <v>42785</v>
      </c>
      <c r="C79" s="1"/>
      <c r="D79">
        <v>10</v>
      </c>
      <c r="F79">
        <v>11</v>
      </c>
    </row>
    <row r="80" spans="2:6" x14ac:dyDescent="0.2">
      <c r="B80" s="1">
        <v>42788</v>
      </c>
      <c r="C80" s="1"/>
      <c r="D80">
        <v>3</v>
      </c>
      <c r="F80">
        <v>11</v>
      </c>
    </row>
    <row r="81" spans="2:6" x14ac:dyDescent="0.2">
      <c r="B81" s="1">
        <v>42800</v>
      </c>
      <c r="C81" s="1"/>
      <c r="D81">
        <v>12</v>
      </c>
      <c r="F81">
        <v>6</v>
      </c>
    </row>
    <row r="82" spans="2:6" x14ac:dyDescent="0.2">
      <c r="B82" s="1">
        <v>42801</v>
      </c>
      <c r="C82" s="1"/>
      <c r="D82">
        <v>1</v>
      </c>
      <c r="F82">
        <v>10</v>
      </c>
    </row>
    <row r="83" spans="2:6" x14ac:dyDescent="0.2">
      <c r="B83" s="1">
        <v>42804</v>
      </c>
      <c r="C83" s="1"/>
      <c r="D83">
        <v>3</v>
      </c>
      <c r="F83">
        <v>9</v>
      </c>
    </row>
    <row r="84" spans="2:6" x14ac:dyDescent="0.2">
      <c r="B84" s="1">
        <v>42806</v>
      </c>
      <c r="C84" s="1"/>
      <c r="D84">
        <v>2</v>
      </c>
      <c r="F84">
        <v>7</v>
      </c>
    </row>
    <row r="85" spans="2:6" x14ac:dyDescent="0.2">
      <c r="B85" s="1">
        <v>42811</v>
      </c>
      <c r="C85" s="1"/>
      <c r="D85">
        <v>5</v>
      </c>
      <c r="F85">
        <v>9</v>
      </c>
    </row>
    <row r="86" spans="2:6" x14ac:dyDescent="0.2">
      <c r="B86" s="1">
        <v>42812</v>
      </c>
      <c r="C86" s="1"/>
      <c r="D86">
        <v>1</v>
      </c>
      <c r="F86">
        <v>10</v>
      </c>
    </row>
    <row r="87" spans="2:6" x14ac:dyDescent="0.2">
      <c r="B87" s="1">
        <v>42831</v>
      </c>
      <c r="C87" s="1"/>
      <c r="D87">
        <v>19</v>
      </c>
      <c r="F87">
        <v>6</v>
      </c>
    </row>
    <row r="88" spans="2:6" x14ac:dyDescent="0.2">
      <c r="B88" s="1">
        <v>42833</v>
      </c>
      <c r="C88" s="1"/>
      <c r="D88">
        <v>2</v>
      </c>
      <c r="F88">
        <v>8</v>
      </c>
    </row>
    <row r="89" spans="2:6" x14ac:dyDescent="0.2">
      <c r="B89" s="1">
        <v>42840</v>
      </c>
      <c r="C89" s="1"/>
      <c r="D89">
        <v>7</v>
      </c>
      <c r="F89">
        <v>10</v>
      </c>
    </row>
    <row r="90" spans="2:6" x14ac:dyDescent="0.2">
      <c r="B90" s="1">
        <v>42841</v>
      </c>
      <c r="C90" s="1"/>
      <c r="D90">
        <v>1</v>
      </c>
      <c r="F90">
        <v>10</v>
      </c>
    </row>
    <row r="91" spans="2:6" x14ac:dyDescent="0.2">
      <c r="B91" s="1">
        <v>42842</v>
      </c>
      <c r="C91" s="1"/>
      <c r="D91">
        <v>1</v>
      </c>
      <c r="F91">
        <v>13</v>
      </c>
    </row>
    <row r="92" spans="2:6" x14ac:dyDescent="0.2">
      <c r="B92" s="1">
        <v>42849</v>
      </c>
      <c r="C92" s="1"/>
      <c r="D92">
        <v>7</v>
      </c>
      <c r="F92">
        <v>7</v>
      </c>
    </row>
    <row r="93" spans="2:6" x14ac:dyDescent="0.2">
      <c r="B93" s="1">
        <v>42851</v>
      </c>
      <c r="C93" s="1"/>
      <c r="D93">
        <v>2</v>
      </c>
      <c r="F93">
        <v>9</v>
      </c>
    </row>
    <row r="94" spans="2:6" x14ac:dyDescent="0.2">
      <c r="B94" s="1">
        <v>42858</v>
      </c>
      <c r="C94" s="1"/>
      <c r="D94">
        <v>7</v>
      </c>
      <c r="F94">
        <v>9</v>
      </c>
    </row>
    <row r="95" spans="2:6" x14ac:dyDescent="0.2">
      <c r="B95" s="1">
        <v>42863</v>
      </c>
      <c r="C95" s="1"/>
      <c r="D95">
        <v>5</v>
      </c>
      <c r="F95">
        <v>11</v>
      </c>
    </row>
    <row r="96" spans="2:6" x14ac:dyDescent="0.2">
      <c r="B96" s="1">
        <v>42865</v>
      </c>
      <c r="C96" s="1"/>
      <c r="D96">
        <v>2</v>
      </c>
      <c r="F96">
        <v>13</v>
      </c>
    </row>
    <row r="97" spans="2:6" x14ac:dyDescent="0.2">
      <c r="B97" s="1">
        <v>42873</v>
      </c>
      <c r="C97" s="1"/>
      <c r="D97">
        <v>8</v>
      </c>
      <c r="F97">
        <v>10</v>
      </c>
    </row>
    <row r="98" spans="2:6" x14ac:dyDescent="0.2">
      <c r="B98" s="1">
        <v>42882</v>
      </c>
      <c r="C98" s="1"/>
      <c r="D98">
        <v>9</v>
      </c>
      <c r="F98">
        <v>4</v>
      </c>
    </row>
    <row r="99" spans="2:6" x14ac:dyDescent="0.2">
      <c r="B99" s="1">
        <v>42883</v>
      </c>
      <c r="C99" s="1"/>
      <c r="D99">
        <v>1</v>
      </c>
      <c r="F99">
        <v>10</v>
      </c>
    </row>
    <row r="100" spans="2:6" x14ac:dyDescent="0.2">
      <c r="B100" s="1">
        <v>42886</v>
      </c>
      <c r="C100" s="1"/>
      <c r="D100">
        <v>3</v>
      </c>
      <c r="F100">
        <v>9</v>
      </c>
    </row>
    <row r="101" spans="2:6" x14ac:dyDescent="0.2">
      <c r="B101" s="1">
        <v>42891</v>
      </c>
      <c r="C101" s="1"/>
      <c r="D101">
        <v>5</v>
      </c>
      <c r="F101">
        <v>6</v>
      </c>
    </row>
    <row r="102" spans="2:6" x14ac:dyDescent="0.2">
      <c r="B102" s="1">
        <v>42900</v>
      </c>
      <c r="C102" s="1"/>
      <c r="D102">
        <v>9</v>
      </c>
      <c r="F102">
        <v>7</v>
      </c>
    </row>
    <row r="103" spans="2:6" x14ac:dyDescent="0.2">
      <c r="B103" s="1">
        <v>42906</v>
      </c>
      <c r="C103" s="1"/>
      <c r="D103">
        <v>6</v>
      </c>
      <c r="F103">
        <v>5</v>
      </c>
    </row>
    <row r="104" spans="2:6" x14ac:dyDescent="0.2">
      <c r="B104" s="1">
        <v>42908</v>
      </c>
      <c r="C104" s="1"/>
      <c r="D104">
        <v>2</v>
      </c>
      <c r="F104">
        <v>5</v>
      </c>
    </row>
    <row r="105" spans="2:6" x14ac:dyDescent="0.2">
      <c r="B105" s="1">
        <v>42911</v>
      </c>
      <c r="C105" s="1"/>
      <c r="D105">
        <v>3</v>
      </c>
      <c r="F105">
        <v>4</v>
      </c>
    </row>
    <row r="106" spans="2:6" x14ac:dyDescent="0.2">
      <c r="B106" s="1">
        <v>42919</v>
      </c>
      <c r="C106" s="1"/>
      <c r="D106">
        <v>8</v>
      </c>
      <c r="F106">
        <v>12</v>
      </c>
    </row>
    <row r="107" spans="2:6" x14ac:dyDescent="0.2">
      <c r="B107" s="1">
        <v>42929</v>
      </c>
      <c r="C107" s="1"/>
      <c r="D107">
        <v>10</v>
      </c>
      <c r="F107">
        <v>4</v>
      </c>
    </row>
    <row r="108" spans="2:6" x14ac:dyDescent="0.2">
      <c r="B108" s="1">
        <v>42935</v>
      </c>
      <c r="C108" s="1"/>
      <c r="D108">
        <v>6</v>
      </c>
      <c r="F108">
        <v>8</v>
      </c>
    </row>
    <row r="109" spans="2:6" x14ac:dyDescent="0.2">
      <c r="B109" s="1">
        <v>42949</v>
      </c>
      <c r="C109" s="1"/>
      <c r="D109">
        <v>14</v>
      </c>
      <c r="F109">
        <v>11</v>
      </c>
    </row>
    <row r="110" spans="2:6" x14ac:dyDescent="0.2">
      <c r="B110" s="1">
        <v>42949</v>
      </c>
      <c r="C110" s="1"/>
      <c r="D110">
        <v>0</v>
      </c>
      <c r="F110">
        <v>7</v>
      </c>
    </row>
    <row r="111" spans="2:6" x14ac:dyDescent="0.2">
      <c r="B111" s="1">
        <v>42951</v>
      </c>
      <c r="C111" s="1"/>
      <c r="D111">
        <v>2</v>
      </c>
      <c r="F111">
        <v>13</v>
      </c>
    </row>
    <row r="112" spans="2:6" x14ac:dyDescent="0.2">
      <c r="B112" s="1">
        <v>42954</v>
      </c>
      <c r="C112" s="1"/>
      <c r="D112">
        <v>3</v>
      </c>
      <c r="F112">
        <v>13</v>
      </c>
    </row>
    <row r="113" spans="2:6" x14ac:dyDescent="0.2">
      <c r="B113" s="1">
        <v>42955</v>
      </c>
      <c r="C113" s="1"/>
      <c r="D113">
        <v>1</v>
      </c>
      <c r="F113">
        <v>5</v>
      </c>
    </row>
    <row r="114" spans="2:6" x14ac:dyDescent="0.2">
      <c r="B114" s="1">
        <v>42955</v>
      </c>
      <c r="C114" s="1"/>
      <c r="D114">
        <v>0</v>
      </c>
      <c r="F114">
        <v>5</v>
      </c>
    </row>
    <row r="115" spans="2:6" x14ac:dyDescent="0.2">
      <c r="B115" s="1">
        <v>42958</v>
      </c>
      <c r="C115" s="1"/>
      <c r="D115">
        <v>3</v>
      </c>
      <c r="F115">
        <v>9</v>
      </c>
    </row>
    <row r="116" spans="2:6" x14ac:dyDescent="0.2">
      <c r="B116" s="1">
        <v>42958</v>
      </c>
      <c r="C116" s="1"/>
      <c r="D116">
        <v>0</v>
      </c>
      <c r="F116">
        <v>10</v>
      </c>
    </row>
    <row r="117" spans="2:6" x14ac:dyDescent="0.2">
      <c r="B117" s="1">
        <v>42958</v>
      </c>
      <c r="C117" s="1"/>
      <c r="D117">
        <v>0</v>
      </c>
      <c r="F117">
        <v>5</v>
      </c>
    </row>
    <row r="118" spans="2:6" x14ac:dyDescent="0.2">
      <c r="B118" s="1">
        <v>42965</v>
      </c>
      <c r="C118" s="1"/>
      <c r="D118">
        <v>7</v>
      </c>
      <c r="F118">
        <v>6</v>
      </c>
    </row>
    <row r="119" spans="2:6" x14ac:dyDescent="0.2">
      <c r="B119" s="1">
        <v>42969</v>
      </c>
      <c r="C119" s="1"/>
      <c r="D119">
        <v>4</v>
      </c>
      <c r="F119">
        <v>7</v>
      </c>
    </row>
    <row r="120" spans="2:6" x14ac:dyDescent="0.2">
      <c r="B120" s="1">
        <v>42971</v>
      </c>
      <c r="C120" s="1"/>
      <c r="D120">
        <v>2</v>
      </c>
      <c r="F120">
        <v>12</v>
      </c>
    </row>
    <row r="121" spans="2:6" x14ac:dyDescent="0.2">
      <c r="B121" s="1">
        <v>42981</v>
      </c>
      <c r="C121" s="1"/>
      <c r="D121">
        <v>10</v>
      </c>
      <c r="F121">
        <v>8</v>
      </c>
    </row>
    <row r="122" spans="2:6" x14ac:dyDescent="0.2">
      <c r="B122" s="1">
        <v>42985</v>
      </c>
      <c r="C122" s="1"/>
      <c r="D122">
        <v>4</v>
      </c>
      <c r="F122">
        <v>12</v>
      </c>
    </row>
    <row r="123" spans="2:6" x14ac:dyDescent="0.2">
      <c r="B123" s="1">
        <v>42985</v>
      </c>
      <c r="C123" s="1"/>
      <c r="D123">
        <v>0</v>
      </c>
      <c r="F123">
        <v>7</v>
      </c>
    </row>
    <row r="124" spans="2:6" x14ac:dyDescent="0.2">
      <c r="B124" s="1">
        <v>42986</v>
      </c>
      <c r="C124" s="1"/>
      <c r="D124">
        <v>1</v>
      </c>
      <c r="F124">
        <v>10</v>
      </c>
    </row>
    <row r="125" spans="2:6" x14ac:dyDescent="0.2">
      <c r="B125" s="1">
        <v>42990</v>
      </c>
      <c r="C125" s="1"/>
      <c r="D125">
        <v>4</v>
      </c>
      <c r="F125">
        <v>10</v>
      </c>
    </row>
    <row r="126" spans="2:6" x14ac:dyDescent="0.2">
      <c r="B126" s="1">
        <v>43003</v>
      </c>
      <c r="C126" s="1"/>
      <c r="D126">
        <v>13</v>
      </c>
      <c r="F126">
        <v>9</v>
      </c>
    </row>
    <row r="127" spans="2:6" x14ac:dyDescent="0.2">
      <c r="B127" s="1">
        <v>43003</v>
      </c>
      <c r="C127" s="1"/>
      <c r="D127">
        <v>0</v>
      </c>
      <c r="F127">
        <v>9</v>
      </c>
    </row>
    <row r="128" spans="2:6" x14ac:dyDescent="0.2">
      <c r="B128" s="1">
        <v>43004</v>
      </c>
      <c r="C128" s="1"/>
      <c r="D128">
        <v>1</v>
      </c>
      <c r="F128">
        <v>9</v>
      </c>
    </row>
    <row r="129" spans="2:6" x14ac:dyDescent="0.2">
      <c r="B129" s="1">
        <v>43007</v>
      </c>
      <c r="C129" s="1"/>
      <c r="D129">
        <v>3</v>
      </c>
      <c r="F129">
        <v>8</v>
      </c>
    </row>
    <row r="130" spans="2:6" x14ac:dyDescent="0.2">
      <c r="B130" s="1">
        <v>43008</v>
      </c>
      <c r="C130" s="1"/>
      <c r="D130">
        <v>1</v>
      </c>
      <c r="F130">
        <v>10</v>
      </c>
    </row>
    <row r="131" spans="2:6" x14ac:dyDescent="0.2">
      <c r="B131" s="1">
        <v>43008</v>
      </c>
      <c r="C131" s="1"/>
      <c r="D131">
        <v>0</v>
      </c>
      <c r="F131">
        <v>9</v>
      </c>
    </row>
    <row r="132" spans="2:6" x14ac:dyDescent="0.2">
      <c r="B132" s="1">
        <v>43009</v>
      </c>
      <c r="C132" s="1"/>
      <c r="D132">
        <v>1</v>
      </c>
      <c r="F132">
        <v>8</v>
      </c>
    </row>
    <row r="133" spans="2:6" x14ac:dyDescent="0.2">
      <c r="B133" s="1">
        <v>43013</v>
      </c>
      <c r="C133" s="1"/>
      <c r="D133">
        <v>4</v>
      </c>
      <c r="F133">
        <v>8</v>
      </c>
    </row>
    <row r="134" spans="2:6" x14ac:dyDescent="0.2">
      <c r="B134" s="1">
        <v>43025</v>
      </c>
      <c r="C134" s="1"/>
      <c r="D134">
        <v>12</v>
      </c>
      <c r="F134">
        <v>9</v>
      </c>
    </row>
    <row r="135" spans="2:6" x14ac:dyDescent="0.2">
      <c r="B135" s="1">
        <v>43026</v>
      </c>
      <c r="C135" s="1"/>
      <c r="D135">
        <v>1</v>
      </c>
      <c r="F135">
        <v>6</v>
      </c>
    </row>
    <row r="136" spans="2:6" x14ac:dyDescent="0.2">
      <c r="B136" s="1">
        <v>43034</v>
      </c>
      <c r="C136" s="1"/>
      <c r="D136">
        <v>8</v>
      </c>
      <c r="F136">
        <v>5</v>
      </c>
    </row>
    <row r="137" spans="2:6" x14ac:dyDescent="0.2">
      <c r="B137" s="1">
        <v>43043</v>
      </c>
      <c r="C137" s="1"/>
      <c r="D137">
        <v>9</v>
      </c>
      <c r="F137">
        <v>6</v>
      </c>
    </row>
    <row r="138" spans="2:6" x14ac:dyDescent="0.2">
      <c r="B138" s="1">
        <v>43049</v>
      </c>
      <c r="C138" s="1"/>
      <c r="D138">
        <v>6</v>
      </c>
      <c r="F138">
        <v>11</v>
      </c>
    </row>
    <row r="139" spans="2:6" x14ac:dyDescent="0.2">
      <c r="B139" s="1">
        <v>43051</v>
      </c>
      <c r="C139" s="1"/>
      <c r="D139">
        <v>2</v>
      </c>
      <c r="F139">
        <v>9</v>
      </c>
    </row>
    <row r="140" spans="2:6" x14ac:dyDescent="0.2">
      <c r="B140" s="1">
        <v>43051</v>
      </c>
      <c r="C140" s="1"/>
      <c r="D140">
        <v>0</v>
      </c>
      <c r="F140">
        <v>10</v>
      </c>
    </row>
    <row r="141" spans="2:6" x14ac:dyDescent="0.2">
      <c r="B141" s="1">
        <v>43065</v>
      </c>
      <c r="C141" s="1"/>
      <c r="D141">
        <v>14</v>
      </c>
      <c r="F141">
        <v>10</v>
      </c>
    </row>
    <row r="142" spans="2:6" x14ac:dyDescent="0.2">
      <c r="B142" s="1">
        <v>43066</v>
      </c>
      <c r="C142" s="1"/>
      <c r="D142">
        <v>1</v>
      </c>
      <c r="F142">
        <v>11</v>
      </c>
    </row>
    <row r="143" spans="2:6" x14ac:dyDescent="0.2">
      <c r="B143" s="1">
        <v>43070</v>
      </c>
      <c r="C143" s="1"/>
      <c r="D143">
        <v>4</v>
      </c>
      <c r="F143">
        <v>8</v>
      </c>
    </row>
    <row r="144" spans="2:6" x14ac:dyDescent="0.2">
      <c r="B144" s="1">
        <v>43074</v>
      </c>
      <c r="C144" s="1"/>
      <c r="D144">
        <v>4</v>
      </c>
      <c r="F144">
        <v>10</v>
      </c>
    </row>
    <row r="145" spans="2:6" x14ac:dyDescent="0.2">
      <c r="B145" s="1">
        <v>43077</v>
      </c>
      <c r="C145" s="1"/>
      <c r="D145">
        <v>3</v>
      </c>
      <c r="F145">
        <v>9</v>
      </c>
    </row>
    <row r="146" spans="2:6" x14ac:dyDescent="0.2">
      <c r="B146" s="1">
        <v>43090</v>
      </c>
      <c r="C146" s="1"/>
      <c r="D146">
        <v>13</v>
      </c>
      <c r="F146">
        <v>5</v>
      </c>
    </row>
    <row r="147" spans="2:6" x14ac:dyDescent="0.2">
      <c r="B147" s="1">
        <v>43092</v>
      </c>
      <c r="C147" s="1"/>
      <c r="D147">
        <v>2</v>
      </c>
      <c r="F147">
        <v>10</v>
      </c>
    </row>
    <row r="148" spans="2:6" x14ac:dyDescent="0.2">
      <c r="B148" s="1">
        <v>43095</v>
      </c>
      <c r="C148" s="1"/>
      <c r="D148">
        <v>3</v>
      </c>
      <c r="F148">
        <v>5</v>
      </c>
    </row>
    <row r="149" spans="2:6" x14ac:dyDescent="0.2">
      <c r="B149" s="1">
        <v>43098</v>
      </c>
      <c r="C149" s="1"/>
      <c r="D149">
        <v>3</v>
      </c>
      <c r="F149">
        <v>11</v>
      </c>
    </row>
    <row r="150" spans="2:6" x14ac:dyDescent="0.2">
      <c r="B150" s="1">
        <v>43098</v>
      </c>
      <c r="C150" s="1"/>
      <c r="D150">
        <v>0</v>
      </c>
      <c r="F150">
        <v>8</v>
      </c>
    </row>
    <row r="151" spans="2:6" x14ac:dyDescent="0.2">
      <c r="B151" s="1">
        <v>43101</v>
      </c>
      <c r="C151" s="1"/>
      <c r="D151">
        <v>3</v>
      </c>
      <c r="F151">
        <v>9</v>
      </c>
    </row>
    <row r="152" spans="2:6" x14ac:dyDescent="0.2">
      <c r="B152" s="1">
        <v>43106</v>
      </c>
      <c r="C152" s="1"/>
      <c r="D152">
        <v>5</v>
      </c>
      <c r="F152">
        <v>10</v>
      </c>
    </row>
    <row r="153" spans="2:6" x14ac:dyDescent="0.2">
      <c r="B153" s="1">
        <v>43110</v>
      </c>
      <c r="C153" s="1"/>
      <c r="D153">
        <v>4</v>
      </c>
      <c r="F153">
        <v>8</v>
      </c>
    </row>
    <row r="154" spans="2:6" x14ac:dyDescent="0.2">
      <c r="B154" s="1">
        <v>43120</v>
      </c>
      <c r="C154" s="1"/>
      <c r="D154">
        <v>10</v>
      </c>
      <c r="F154">
        <v>11</v>
      </c>
    </row>
    <row r="155" spans="2:6" x14ac:dyDescent="0.2">
      <c r="B155" s="1">
        <v>43124</v>
      </c>
      <c r="C155" s="1"/>
      <c r="D155">
        <v>4</v>
      </c>
      <c r="F155">
        <v>7</v>
      </c>
    </row>
    <row r="156" spans="2:6" x14ac:dyDescent="0.2">
      <c r="B156" s="1">
        <v>43144</v>
      </c>
      <c r="C156" s="1"/>
      <c r="D156">
        <v>20</v>
      </c>
      <c r="F156">
        <v>10</v>
      </c>
    </row>
    <row r="157" spans="2:6" x14ac:dyDescent="0.2">
      <c r="B157" s="1">
        <v>43151</v>
      </c>
      <c r="C157" s="1"/>
      <c r="D157">
        <v>7</v>
      </c>
      <c r="F157">
        <v>8</v>
      </c>
    </row>
    <row r="158" spans="2:6" x14ac:dyDescent="0.2">
      <c r="B158" s="1">
        <v>43158</v>
      </c>
      <c r="C158" s="1"/>
      <c r="D158">
        <v>7</v>
      </c>
      <c r="F158">
        <v>7</v>
      </c>
    </row>
    <row r="159" spans="2:6" x14ac:dyDescent="0.2">
      <c r="B159" s="1">
        <v>43158</v>
      </c>
      <c r="C159" s="1"/>
      <c r="D159">
        <v>0</v>
      </c>
      <c r="F159">
        <v>8</v>
      </c>
    </row>
    <row r="160" spans="2:6" x14ac:dyDescent="0.2">
      <c r="B160" s="1">
        <v>43159</v>
      </c>
      <c r="C160" s="1"/>
      <c r="D160">
        <v>1</v>
      </c>
      <c r="F160">
        <v>6</v>
      </c>
    </row>
    <row r="161" spans="2:6" x14ac:dyDescent="0.2">
      <c r="B161" s="1">
        <v>43164</v>
      </c>
      <c r="C161" s="1"/>
      <c r="D161">
        <v>5</v>
      </c>
      <c r="F161">
        <v>11</v>
      </c>
    </row>
    <row r="162" spans="2:6" x14ac:dyDescent="0.2">
      <c r="B162" s="1">
        <v>43164</v>
      </c>
      <c r="C162" s="1"/>
      <c r="D162">
        <v>0</v>
      </c>
      <c r="F162">
        <v>10</v>
      </c>
    </row>
    <row r="163" spans="2:6" x14ac:dyDescent="0.2">
      <c r="B163" s="1">
        <v>43171</v>
      </c>
      <c r="C163" s="1"/>
      <c r="D163">
        <v>7</v>
      </c>
      <c r="F163">
        <v>8</v>
      </c>
    </row>
    <row r="164" spans="2:6" x14ac:dyDescent="0.2">
      <c r="B164" s="1">
        <v>43175</v>
      </c>
      <c r="C164" s="1"/>
      <c r="D164">
        <v>4</v>
      </c>
      <c r="F164">
        <v>12</v>
      </c>
    </row>
    <row r="165" spans="2:6" x14ac:dyDescent="0.2">
      <c r="B165" s="1">
        <v>43189</v>
      </c>
      <c r="C165" s="1"/>
      <c r="D165">
        <v>14</v>
      </c>
      <c r="F165">
        <v>13</v>
      </c>
    </row>
    <row r="166" spans="2:6" x14ac:dyDescent="0.2">
      <c r="B166" s="1">
        <v>43193</v>
      </c>
      <c r="C166" s="1"/>
      <c r="D166">
        <v>4</v>
      </c>
      <c r="F166">
        <v>8</v>
      </c>
    </row>
    <row r="167" spans="2:6" x14ac:dyDescent="0.2">
      <c r="B167" s="1">
        <v>43194</v>
      </c>
      <c r="C167" s="1"/>
      <c r="D167">
        <v>1</v>
      </c>
      <c r="F167">
        <v>6</v>
      </c>
    </row>
    <row r="168" spans="2:6" x14ac:dyDescent="0.2">
      <c r="B168" s="1">
        <v>43206</v>
      </c>
      <c r="C168" s="1"/>
      <c r="D168">
        <v>12</v>
      </c>
      <c r="F168">
        <v>11</v>
      </c>
    </row>
    <row r="169" spans="2:6" x14ac:dyDescent="0.2">
      <c r="B169" s="1">
        <v>43213</v>
      </c>
      <c r="C169" s="1"/>
      <c r="D169">
        <v>7</v>
      </c>
      <c r="F169">
        <v>10</v>
      </c>
    </row>
    <row r="170" spans="2:6" x14ac:dyDescent="0.2">
      <c r="B170" s="1">
        <v>43224</v>
      </c>
      <c r="C170" s="1"/>
      <c r="D170">
        <v>11</v>
      </c>
      <c r="F170">
        <v>7</v>
      </c>
    </row>
    <row r="171" spans="2:6" x14ac:dyDescent="0.2">
      <c r="B171" s="1">
        <v>43228</v>
      </c>
      <c r="C171" s="1"/>
      <c r="D171">
        <v>4</v>
      </c>
      <c r="F171">
        <v>10</v>
      </c>
    </row>
    <row r="172" spans="2:6" x14ac:dyDescent="0.2">
      <c r="B172" s="1">
        <v>43231</v>
      </c>
      <c r="C172" s="1"/>
      <c r="D172">
        <v>3</v>
      </c>
      <c r="F172">
        <v>8</v>
      </c>
    </row>
    <row r="173" spans="2:6" x14ac:dyDescent="0.2">
      <c r="B173" s="1">
        <v>43231</v>
      </c>
      <c r="C173" s="1"/>
      <c r="D173">
        <v>0</v>
      </c>
      <c r="F173">
        <v>8</v>
      </c>
    </row>
    <row r="174" spans="2:6" x14ac:dyDescent="0.2">
      <c r="B174" s="1">
        <v>43236</v>
      </c>
      <c r="C174" s="1"/>
      <c r="D174">
        <v>5</v>
      </c>
      <c r="F174">
        <v>12</v>
      </c>
    </row>
    <row r="175" spans="2:6" x14ac:dyDescent="0.2">
      <c r="B175" s="1">
        <v>43238</v>
      </c>
      <c r="C175" s="1"/>
      <c r="D175">
        <v>2</v>
      </c>
      <c r="F175">
        <v>7</v>
      </c>
    </row>
    <row r="176" spans="2:6" x14ac:dyDescent="0.2">
      <c r="B176" s="1">
        <v>43238</v>
      </c>
      <c r="C176" s="1"/>
      <c r="D176">
        <v>0</v>
      </c>
      <c r="F176">
        <v>10</v>
      </c>
    </row>
    <row r="177" spans="2:6" x14ac:dyDescent="0.2">
      <c r="B177" s="1">
        <v>43244</v>
      </c>
      <c r="C177" s="1"/>
      <c r="D177">
        <v>6</v>
      </c>
      <c r="F177">
        <v>6</v>
      </c>
    </row>
    <row r="178" spans="2:6" x14ac:dyDescent="0.2">
      <c r="B178" s="1">
        <v>43259</v>
      </c>
      <c r="C178" s="1"/>
      <c r="D178">
        <v>15</v>
      </c>
      <c r="F178">
        <v>7</v>
      </c>
    </row>
    <row r="179" spans="2:6" x14ac:dyDescent="0.2">
      <c r="B179" s="1">
        <v>43261</v>
      </c>
      <c r="C179" s="1"/>
      <c r="D179">
        <v>2</v>
      </c>
      <c r="F179">
        <v>4</v>
      </c>
    </row>
    <row r="180" spans="2:6" x14ac:dyDescent="0.2">
      <c r="B180" s="1">
        <v>43267</v>
      </c>
      <c r="C180" s="1"/>
      <c r="D180">
        <v>6</v>
      </c>
      <c r="F180">
        <v>10</v>
      </c>
    </row>
    <row r="181" spans="2:6" x14ac:dyDescent="0.2">
      <c r="B181" s="1">
        <v>43270</v>
      </c>
      <c r="C181" s="1"/>
      <c r="D181">
        <v>3</v>
      </c>
      <c r="F181">
        <v>10</v>
      </c>
    </row>
    <row r="182" spans="2:6" x14ac:dyDescent="0.2">
      <c r="B182" s="1">
        <v>43274</v>
      </c>
      <c r="C182" s="1"/>
      <c r="D182">
        <v>4</v>
      </c>
      <c r="F182">
        <v>11</v>
      </c>
    </row>
    <row r="183" spans="2:6" x14ac:dyDescent="0.2">
      <c r="B183" s="1">
        <v>43285</v>
      </c>
      <c r="C183" s="1"/>
      <c r="D183">
        <v>11</v>
      </c>
      <c r="F183">
        <v>7</v>
      </c>
    </row>
    <row r="184" spans="2:6" x14ac:dyDescent="0.2">
      <c r="B184" s="1">
        <v>43286</v>
      </c>
      <c r="C184" s="1"/>
      <c r="D184">
        <v>1</v>
      </c>
      <c r="F184">
        <v>10</v>
      </c>
    </row>
    <row r="185" spans="2:6" x14ac:dyDescent="0.2">
      <c r="B185" s="1">
        <v>43287</v>
      </c>
      <c r="C185" s="1"/>
      <c r="D185">
        <v>1</v>
      </c>
      <c r="F185">
        <v>11</v>
      </c>
    </row>
    <row r="186" spans="2:6" x14ac:dyDescent="0.2">
      <c r="B186" s="1">
        <v>43289</v>
      </c>
      <c r="C186" s="1"/>
      <c r="D186">
        <v>2</v>
      </c>
      <c r="F186">
        <v>7</v>
      </c>
    </row>
    <row r="187" spans="2:6" x14ac:dyDescent="0.2">
      <c r="B187" s="1">
        <v>43294</v>
      </c>
      <c r="C187" s="1"/>
      <c r="D187">
        <v>5</v>
      </c>
      <c r="F187">
        <v>8</v>
      </c>
    </row>
    <row r="188" spans="2:6" x14ac:dyDescent="0.2">
      <c r="B188" s="1">
        <v>43305</v>
      </c>
      <c r="C188" s="1"/>
      <c r="D188">
        <v>11</v>
      </c>
      <c r="F188">
        <v>6</v>
      </c>
    </row>
    <row r="189" spans="2:6" x14ac:dyDescent="0.2">
      <c r="B189" s="1">
        <v>43308</v>
      </c>
      <c r="C189" s="1"/>
      <c r="D189">
        <v>3</v>
      </c>
      <c r="F189">
        <v>10</v>
      </c>
    </row>
    <row r="190" spans="2:6" x14ac:dyDescent="0.2">
      <c r="B190" s="1">
        <v>43310</v>
      </c>
      <c r="C190" s="1"/>
      <c r="D190">
        <v>2</v>
      </c>
      <c r="F190">
        <v>11</v>
      </c>
    </row>
    <row r="191" spans="2:6" x14ac:dyDescent="0.2">
      <c r="B191" s="1">
        <v>43311</v>
      </c>
      <c r="C191" s="1"/>
      <c r="D191">
        <v>1</v>
      </c>
      <c r="F191">
        <v>8</v>
      </c>
    </row>
    <row r="192" spans="2:6" x14ac:dyDescent="0.2">
      <c r="B192" s="1">
        <v>43323</v>
      </c>
      <c r="C192" s="1"/>
      <c r="D192">
        <v>12</v>
      </c>
      <c r="F192">
        <v>7</v>
      </c>
    </row>
    <row r="193" spans="2:6" x14ac:dyDescent="0.2">
      <c r="B193" s="1">
        <v>43329</v>
      </c>
      <c r="C193" s="1"/>
      <c r="D193">
        <v>6</v>
      </c>
      <c r="F193">
        <v>9</v>
      </c>
    </row>
    <row r="194" spans="2:6" x14ac:dyDescent="0.2">
      <c r="B194" s="1">
        <v>43334</v>
      </c>
      <c r="C194" s="1"/>
      <c r="D194">
        <v>5</v>
      </c>
      <c r="F194">
        <v>7</v>
      </c>
    </row>
    <row r="195" spans="2:6" x14ac:dyDescent="0.2">
      <c r="B195" s="1">
        <v>43340</v>
      </c>
      <c r="C195" s="1"/>
      <c r="D195">
        <v>6</v>
      </c>
      <c r="F195">
        <v>9</v>
      </c>
    </row>
    <row r="196" spans="2:6" x14ac:dyDescent="0.2">
      <c r="B196" s="1">
        <v>43349</v>
      </c>
      <c r="C196" s="1"/>
      <c r="D196">
        <v>9</v>
      </c>
      <c r="F196">
        <v>7</v>
      </c>
    </row>
    <row r="197" spans="2:6" x14ac:dyDescent="0.2">
      <c r="B197" s="1">
        <v>43352</v>
      </c>
      <c r="C197" s="1"/>
      <c r="D197">
        <v>3</v>
      </c>
      <c r="F197">
        <v>7</v>
      </c>
    </row>
    <row r="198" spans="2:6" x14ac:dyDescent="0.2">
      <c r="B198" s="1">
        <v>43356</v>
      </c>
      <c r="C198" s="1"/>
      <c r="D198">
        <v>4</v>
      </c>
      <c r="F198">
        <v>7</v>
      </c>
    </row>
    <row r="199" spans="2:6" x14ac:dyDescent="0.2">
      <c r="B199" s="1">
        <v>43360</v>
      </c>
      <c r="C199" s="1"/>
      <c r="D199">
        <v>4</v>
      </c>
      <c r="F199">
        <v>9</v>
      </c>
    </row>
    <row r="200" spans="2:6" x14ac:dyDescent="0.2">
      <c r="B200" s="1">
        <v>43363</v>
      </c>
      <c r="C200" s="1"/>
      <c r="D200">
        <v>3</v>
      </c>
      <c r="F200">
        <v>8</v>
      </c>
    </row>
    <row r="201" spans="2:6" x14ac:dyDescent="0.2">
      <c r="B201" s="1">
        <v>43364</v>
      </c>
      <c r="C201" s="1"/>
      <c r="D201">
        <v>1</v>
      </c>
      <c r="F201">
        <v>8</v>
      </c>
    </row>
    <row r="202" spans="2:6" x14ac:dyDescent="0.2">
      <c r="B202" s="1">
        <v>43367</v>
      </c>
      <c r="C202" s="1"/>
      <c r="D202">
        <v>3</v>
      </c>
      <c r="F202">
        <v>10</v>
      </c>
    </row>
    <row r="203" spans="2:6" x14ac:dyDescent="0.2">
      <c r="B203" s="1">
        <v>43376</v>
      </c>
      <c r="C203" s="1"/>
      <c r="D203">
        <v>9</v>
      </c>
      <c r="F203">
        <v>7</v>
      </c>
    </row>
    <row r="204" spans="2:6" x14ac:dyDescent="0.2">
      <c r="B204" s="1">
        <v>43377</v>
      </c>
      <c r="C204" s="1"/>
      <c r="D204">
        <v>1</v>
      </c>
      <c r="F204">
        <v>10</v>
      </c>
    </row>
    <row r="205" spans="2:6" x14ac:dyDescent="0.2">
      <c r="B205" s="1">
        <v>43380</v>
      </c>
      <c r="C205" s="1"/>
      <c r="D205">
        <v>3</v>
      </c>
      <c r="F205">
        <v>7</v>
      </c>
    </row>
    <row r="206" spans="2:6" x14ac:dyDescent="0.2">
      <c r="B206" s="1">
        <v>43385</v>
      </c>
      <c r="C206" s="1"/>
      <c r="D206">
        <v>5</v>
      </c>
      <c r="F206">
        <v>10</v>
      </c>
    </row>
    <row r="207" spans="2:6" x14ac:dyDescent="0.2">
      <c r="B207" s="1">
        <v>43391</v>
      </c>
      <c r="C207" s="1"/>
      <c r="D207">
        <v>6</v>
      </c>
      <c r="F207">
        <v>8</v>
      </c>
    </row>
    <row r="208" spans="2:6" x14ac:dyDescent="0.2">
      <c r="B208" s="1">
        <v>43402</v>
      </c>
      <c r="C208" s="1"/>
      <c r="D208">
        <v>11</v>
      </c>
      <c r="F208">
        <v>11</v>
      </c>
    </row>
    <row r="209" spans="2:6" x14ac:dyDescent="0.2">
      <c r="B209" s="1">
        <v>43411</v>
      </c>
      <c r="C209" s="1"/>
      <c r="D209">
        <v>9</v>
      </c>
      <c r="F209">
        <v>11</v>
      </c>
    </row>
    <row r="210" spans="2:6" x14ac:dyDescent="0.2">
      <c r="B210" s="1">
        <v>43416</v>
      </c>
      <c r="C210" s="1"/>
      <c r="D210">
        <v>5</v>
      </c>
      <c r="F210">
        <v>11</v>
      </c>
    </row>
    <row r="211" spans="2:6" x14ac:dyDescent="0.2">
      <c r="B211" s="1">
        <v>43419</v>
      </c>
      <c r="C211" s="1"/>
      <c r="D211">
        <v>3</v>
      </c>
      <c r="F211">
        <v>9</v>
      </c>
    </row>
    <row r="212" spans="2:6" x14ac:dyDescent="0.2">
      <c r="B212" s="1">
        <v>43420</v>
      </c>
      <c r="C212" s="1"/>
      <c r="D212">
        <v>1</v>
      </c>
      <c r="F212">
        <v>6</v>
      </c>
    </row>
    <row r="213" spans="2:6" x14ac:dyDescent="0.2">
      <c r="B213" s="1">
        <v>43422</v>
      </c>
      <c r="C213" s="1"/>
      <c r="D213">
        <v>2</v>
      </c>
      <c r="F213">
        <v>8</v>
      </c>
    </row>
    <row r="214" spans="2:6" x14ac:dyDescent="0.2">
      <c r="B214" s="1">
        <v>43423</v>
      </c>
      <c r="C214" s="1"/>
      <c r="D214">
        <v>1</v>
      </c>
      <c r="F214">
        <v>8</v>
      </c>
    </row>
    <row r="215" spans="2:6" x14ac:dyDescent="0.2">
      <c r="B215" s="1">
        <v>43429</v>
      </c>
      <c r="C215" s="1"/>
      <c r="D215">
        <v>6</v>
      </c>
      <c r="F215">
        <v>8</v>
      </c>
    </row>
    <row r="216" spans="2:6" x14ac:dyDescent="0.2">
      <c r="B216" s="1">
        <v>43447</v>
      </c>
      <c r="C216" s="1"/>
      <c r="D216">
        <v>18</v>
      </c>
      <c r="F216">
        <v>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0DFB2-C6DD-8149-9F55-50A40ACEB93B}">
  <sheetPr codeName="Sheet4"/>
  <dimension ref="A1:AO216"/>
  <sheetViews>
    <sheetView workbookViewId="0">
      <selection activeCell="I15" sqref="I15"/>
    </sheetView>
  </sheetViews>
  <sheetFormatPr baseColWidth="10" defaultColWidth="8.83203125" defaultRowHeight="15" x14ac:dyDescent="0.2"/>
  <cols>
    <col min="2" max="2" width="15.1640625" customWidth="1"/>
    <col min="8" max="8" width="14.6640625" customWidth="1"/>
    <col min="9" max="9" width="12.1640625" customWidth="1"/>
  </cols>
  <sheetData>
    <row r="1" spans="1:41" x14ac:dyDescent="0.2">
      <c r="A1" t="s">
        <v>5</v>
      </c>
    </row>
    <row r="3" spans="1:41" x14ac:dyDescent="0.2">
      <c r="B3" t="s">
        <v>26</v>
      </c>
      <c r="D3" t="s">
        <v>0</v>
      </c>
      <c r="F3" t="s">
        <v>2</v>
      </c>
      <c r="I3" t="s">
        <v>4</v>
      </c>
    </row>
    <row r="4" spans="1:41" x14ac:dyDescent="0.2">
      <c r="B4" s="1">
        <v>42370</v>
      </c>
      <c r="C4" s="1"/>
      <c r="F4">
        <v>1</v>
      </c>
      <c r="I4">
        <v>0</v>
      </c>
      <c r="J4">
        <f>I4+1</f>
        <v>1</v>
      </c>
      <c r="K4">
        <f t="shared" ref="K4:AM4" si="0">J4+1</f>
        <v>2</v>
      </c>
      <c r="L4">
        <f t="shared" si="0"/>
        <v>3</v>
      </c>
      <c r="M4">
        <f t="shared" si="0"/>
        <v>4</v>
      </c>
      <c r="N4">
        <f t="shared" si="0"/>
        <v>5</v>
      </c>
      <c r="O4">
        <f t="shared" si="0"/>
        <v>6</v>
      </c>
      <c r="P4">
        <f t="shared" si="0"/>
        <v>7</v>
      </c>
      <c r="Q4">
        <f t="shared" si="0"/>
        <v>8</v>
      </c>
      <c r="R4">
        <f t="shared" si="0"/>
        <v>9</v>
      </c>
      <c r="S4">
        <f t="shared" si="0"/>
        <v>10</v>
      </c>
      <c r="T4">
        <f t="shared" si="0"/>
        <v>11</v>
      </c>
      <c r="U4">
        <f t="shared" si="0"/>
        <v>12</v>
      </c>
      <c r="V4">
        <f t="shared" si="0"/>
        <v>13</v>
      </c>
      <c r="W4">
        <f t="shared" si="0"/>
        <v>14</v>
      </c>
      <c r="X4">
        <f t="shared" si="0"/>
        <v>15</v>
      </c>
      <c r="Y4">
        <f t="shared" si="0"/>
        <v>16</v>
      </c>
      <c r="Z4">
        <f t="shared" si="0"/>
        <v>17</v>
      </c>
      <c r="AA4">
        <f t="shared" si="0"/>
        <v>18</v>
      </c>
      <c r="AB4">
        <f t="shared" si="0"/>
        <v>19</v>
      </c>
      <c r="AC4">
        <f t="shared" si="0"/>
        <v>20</v>
      </c>
      <c r="AD4">
        <f t="shared" si="0"/>
        <v>21</v>
      </c>
      <c r="AE4">
        <f t="shared" si="0"/>
        <v>22</v>
      </c>
      <c r="AF4">
        <f t="shared" si="0"/>
        <v>23</v>
      </c>
      <c r="AG4">
        <f t="shared" si="0"/>
        <v>24</v>
      </c>
      <c r="AH4">
        <f t="shared" si="0"/>
        <v>25</v>
      </c>
      <c r="AI4">
        <f t="shared" si="0"/>
        <v>26</v>
      </c>
      <c r="AJ4">
        <f t="shared" si="0"/>
        <v>27</v>
      </c>
      <c r="AK4">
        <f t="shared" si="0"/>
        <v>28</v>
      </c>
      <c r="AL4">
        <f t="shared" si="0"/>
        <v>29</v>
      </c>
      <c r="AM4">
        <f t="shared" si="0"/>
        <v>30</v>
      </c>
      <c r="AN4" t="s">
        <v>13</v>
      </c>
    </row>
    <row r="5" spans="1:41" x14ac:dyDescent="0.2">
      <c r="B5" s="1">
        <v>42376</v>
      </c>
      <c r="C5" s="1"/>
      <c r="D5">
        <v>6</v>
      </c>
      <c r="F5">
        <v>10</v>
      </c>
      <c r="H5" t="s">
        <v>11</v>
      </c>
      <c r="I5">
        <f>COUNTIF($D$5:$D$152,I4)</f>
        <v>10</v>
      </c>
      <c r="J5">
        <f t="shared" ref="J5:AM5" si="1">COUNTIF($D$5:$D$152,J4)</f>
        <v>18</v>
      </c>
      <c r="K5">
        <f t="shared" si="1"/>
        <v>10</v>
      </c>
      <c r="L5">
        <f t="shared" si="1"/>
        <v>12</v>
      </c>
      <c r="M5">
        <f t="shared" si="1"/>
        <v>10</v>
      </c>
      <c r="N5">
        <f t="shared" si="1"/>
        <v>17</v>
      </c>
      <c r="O5">
        <f t="shared" si="1"/>
        <v>13</v>
      </c>
      <c r="P5">
        <f t="shared" si="1"/>
        <v>7</v>
      </c>
      <c r="Q5">
        <f t="shared" si="1"/>
        <v>7</v>
      </c>
      <c r="R5">
        <f t="shared" si="1"/>
        <v>7</v>
      </c>
      <c r="S5">
        <f t="shared" si="1"/>
        <v>1</v>
      </c>
      <c r="T5">
        <f t="shared" si="1"/>
        <v>2</v>
      </c>
      <c r="U5">
        <f t="shared" si="1"/>
        <v>6</v>
      </c>
      <c r="V5">
        <f t="shared" si="1"/>
        <v>5</v>
      </c>
      <c r="W5">
        <f t="shared" si="1"/>
        <v>4</v>
      </c>
      <c r="X5">
        <f t="shared" si="1"/>
        <v>0</v>
      </c>
      <c r="Y5">
        <f t="shared" si="1"/>
        <v>4</v>
      </c>
      <c r="Z5">
        <f t="shared" si="1"/>
        <v>4</v>
      </c>
      <c r="AA5">
        <f t="shared" si="1"/>
        <v>1</v>
      </c>
      <c r="AB5">
        <f t="shared" si="1"/>
        <v>1</v>
      </c>
      <c r="AC5">
        <f t="shared" si="1"/>
        <v>1</v>
      </c>
      <c r="AD5">
        <f t="shared" si="1"/>
        <v>2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1"/>
        <v>1</v>
      </c>
      <c r="AI5">
        <f t="shared" si="1"/>
        <v>1</v>
      </c>
      <c r="AJ5">
        <f t="shared" si="1"/>
        <v>1</v>
      </c>
      <c r="AK5">
        <f t="shared" si="1"/>
        <v>0</v>
      </c>
      <c r="AL5">
        <f t="shared" si="1"/>
        <v>0</v>
      </c>
      <c r="AM5">
        <f t="shared" si="1"/>
        <v>1</v>
      </c>
      <c r="AN5">
        <f>COUNT(D5:D152)-SUM(I5:AM5)</f>
        <v>2</v>
      </c>
      <c r="AO5">
        <f>SUM(I5:AN5)</f>
        <v>148</v>
      </c>
    </row>
    <row r="6" spans="1:41" x14ac:dyDescent="0.2">
      <c r="B6" s="1">
        <v>42387</v>
      </c>
      <c r="C6" s="1"/>
      <c r="D6">
        <v>11</v>
      </c>
      <c r="F6">
        <v>4</v>
      </c>
      <c r="H6" t="s">
        <v>27</v>
      </c>
      <c r="I6">
        <f>I5/SUM($I$5:$AN$5)</f>
        <v>6.7567567567567571E-2</v>
      </c>
      <c r="J6">
        <f t="shared" ref="J6:AN6" si="2">J5/SUM($I$5:$AN$5)</f>
        <v>0.12162162162162163</v>
      </c>
      <c r="K6">
        <f t="shared" si="2"/>
        <v>6.7567567567567571E-2</v>
      </c>
      <c r="L6">
        <f t="shared" si="2"/>
        <v>8.1081081081081086E-2</v>
      </c>
      <c r="M6">
        <f t="shared" si="2"/>
        <v>6.7567567567567571E-2</v>
      </c>
      <c r="N6">
        <f t="shared" si="2"/>
        <v>0.11486486486486487</v>
      </c>
      <c r="O6">
        <f t="shared" si="2"/>
        <v>8.7837837837837843E-2</v>
      </c>
      <c r="P6">
        <f t="shared" si="2"/>
        <v>4.72972972972973E-2</v>
      </c>
      <c r="Q6">
        <f t="shared" si="2"/>
        <v>4.72972972972973E-2</v>
      </c>
      <c r="R6">
        <f t="shared" si="2"/>
        <v>4.72972972972973E-2</v>
      </c>
      <c r="S6">
        <f t="shared" si="2"/>
        <v>6.7567567567567571E-3</v>
      </c>
      <c r="T6">
        <f t="shared" si="2"/>
        <v>1.3513513513513514E-2</v>
      </c>
      <c r="U6">
        <f t="shared" si="2"/>
        <v>4.0540540540540543E-2</v>
      </c>
      <c r="V6">
        <f t="shared" si="2"/>
        <v>3.3783783783783786E-2</v>
      </c>
      <c r="W6">
        <f t="shared" si="2"/>
        <v>2.7027027027027029E-2</v>
      </c>
      <c r="X6">
        <f t="shared" si="2"/>
        <v>0</v>
      </c>
      <c r="Y6">
        <f t="shared" si="2"/>
        <v>2.7027027027027029E-2</v>
      </c>
      <c r="Z6">
        <f t="shared" si="2"/>
        <v>2.7027027027027029E-2</v>
      </c>
      <c r="AA6">
        <f t="shared" si="2"/>
        <v>6.7567567567567571E-3</v>
      </c>
      <c r="AB6">
        <f t="shared" si="2"/>
        <v>6.7567567567567571E-3</v>
      </c>
      <c r="AC6">
        <f t="shared" si="2"/>
        <v>6.7567567567567571E-3</v>
      </c>
      <c r="AD6">
        <f t="shared" si="2"/>
        <v>1.3513513513513514E-2</v>
      </c>
      <c r="AE6">
        <f t="shared" si="2"/>
        <v>0</v>
      </c>
      <c r="AF6">
        <f t="shared" si="2"/>
        <v>0</v>
      </c>
      <c r="AG6">
        <f t="shared" si="2"/>
        <v>0</v>
      </c>
      <c r="AH6">
        <f t="shared" si="2"/>
        <v>6.7567567567567571E-3</v>
      </c>
      <c r="AI6">
        <f t="shared" si="2"/>
        <v>6.7567567567567571E-3</v>
      </c>
      <c r="AJ6">
        <f t="shared" si="2"/>
        <v>6.7567567567567571E-3</v>
      </c>
      <c r="AK6">
        <f t="shared" si="2"/>
        <v>0</v>
      </c>
      <c r="AL6">
        <f t="shared" si="2"/>
        <v>0</v>
      </c>
      <c r="AM6">
        <f t="shared" si="2"/>
        <v>6.7567567567567571E-3</v>
      </c>
      <c r="AN6">
        <f t="shared" si="2"/>
        <v>1.3513513513513514E-2</v>
      </c>
    </row>
    <row r="7" spans="1:41" x14ac:dyDescent="0.2">
      <c r="B7" s="1">
        <v>42387</v>
      </c>
      <c r="C7" s="1"/>
      <c r="D7">
        <v>0</v>
      </c>
      <c r="F7">
        <v>1</v>
      </c>
      <c r="H7" t="s">
        <v>30</v>
      </c>
      <c r="I7">
        <f>I6</f>
        <v>6.7567567567567571E-2</v>
      </c>
      <c r="J7">
        <f>I7+J6</f>
        <v>0.1891891891891892</v>
      </c>
      <c r="K7">
        <f t="shared" ref="K7:AN7" si="3">J7+K6</f>
        <v>0.2567567567567568</v>
      </c>
      <c r="L7">
        <f t="shared" si="3"/>
        <v>0.33783783783783788</v>
      </c>
      <c r="M7">
        <f t="shared" si="3"/>
        <v>0.40540540540540548</v>
      </c>
      <c r="N7">
        <f t="shared" si="3"/>
        <v>0.5202702702702704</v>
      </c>
      <c r="O7">
        <f t="shared" si="3"/>
        <v>0.60810810810810823</v>
      </c>
      <c r="P7">
        <f t="shared" si="3"/>
        <v>0.65540540540540548</v>
      </c>
      <c r="Q7">
        <f t="shared" si="3"/>
        <v>0.70270270270270274</v>
      </c>
      <c r="R7">
        <f t="shared" si="3"/>
        <v>0.75</v>
      </c>
      <c r="S7">
        <f t="shared" si="3"/>
        <v>0.7567567567567568</v>
      </c>
      <c r="T7">
        <f t="shared" si="3"/>
        <v>0.77027027027027029</v>
      </c>
      <c r="U7">
        <f t="shared" si="3"/>
        <v>0.81081081081081086</v>
      </c>
      <c r="V7">
        <f t="shared" si="3"/>
        <v>0.84459459459459463</v>
      </c>
      <c r="W7">
        <f t="shared" si="3"/>
        <v>0.87162162162162171</v>
      </c>
      <c r="X7">
        <f t="shared" si="3"/>
        <v>0.87162162162162171</v>
      </c>
      <c r="Y7">
        <f t="shared" si="3"/>
        <v>0.89864864864864868</v>
      </c>
      <c r="Z7">
        <f t="shared" si="3"/>
        <v>0.92567567567567566</v>
      </c>
      <c r="AA7">
        <f t="shared" si="3"/>
        <v>0.93243243243243246</v>
      </c>
      <c r="AB7">
        <f t="shared" si="3"/>
        <v>0.93918918918918926</v>
      </c>
      <c r="AC7">
        <f t="shared" si="3"/>
        <v>0.94594594594594605</v>
      </c>
      <c r="AD7">
        <f t="shared" si="3"/>
        <v>0.95945945945945954</v>
      </c>
      <c r="AE7">
        <f t="shared" si="3"/>
        <v>0.95945945945945954</v>
      </c>
      <c r="AF7">
        <f t="shared" si="3"/>
        <v>0.95945945945945954</v>
      </c>
      <c r="AG7">
        <f t="shared" si="3"/>
        <v>0.95945945945945954</v>
      </c>
      <c r="AH7">
        <f t="shared" si="3"/>
        <v>0.96621621621621634</v>
      </c>
      <c r="AI7">
        <f t="shared" si="3"/>
        <v>0.97297297297297314</v>
      </c>
      <c r="AJ7">
        <f t="shared" si="3"/>
        <v>0.97972972972972994</v>
      </c>
      <c r="AK7">
        <f t="shared" si="3"/>
        <v>0.97972972972972994</v>
      </c>
      <c r="AL7">
        <f t="shared" si="3"/>
        <v>0.97972972972972994</v>
      </c>
      <c r="AM7">
        <f t="shared" si="3"/>
        <v>0.98648648648648674</v>
      </c>
      <c r="AN7">
        <f t="shared" si="3"/>
        <v>1.0000000000000002</v>
      </c>
    </row>
    <row r="8" spans="1:41" x14ac:dyDescent="0.2">
      <c r="B8" s="1">
        <v>42388</v>
      </c>
      <c r="C8" s="1"/>
      <c r="D8">
        <v>1</v>
      </c>
      <c r="F8">
        <v>1</v>
      </c>
    </row>
    <row r="9" spans="1:41" x14ac:dyDescent="0.2">
      <c r="B9" s="1">
        <v>42394</v>
      </c>
      <c r="C9" s="1"/>
      <c r="D9">
        <v>6</v>
      </c>
      <c r="F9">
        <v>7</v>
      </c>
      <c r="I9" t="s">
        <v>18</v>
      </c>
    </row>
    <row r="10" spans="1:41" x14ac:dyDescent="0.2">
      <c r="B10" s="1">
        <v>42397</v>
      </c>
      <c r="C10" s="1"/>
      <c r="D10">
        <v>3</v>
      </c>
      <c r="F10">
        <v>7</v>
      </c>
      <c r="I10">
        <f>(SUMPRODUCT(I4:AM4,I5:AM5)+40*AN5)/SUM(I5:AN5)</f>
        <v>7.3581081081081079</v>
      </c>
    </row>
    <row r="11" spans="1:41" x14ac:dyDescent="0.2">
      <c r="B11" s="1">
        <v>42409</v>
      </c>
      <c r="C11" s="1"/>
      <c r="D11">
        <v>12</v>
      </c>
      <c r="F11">
        <v>4</v>
      </c>
    </row>
    <row r="12" spans="1:41" x14ac:dyDescent="0.2">
      <c r="B12" s="1">
        <v>42418</v>
      </c>
      <c r="C12" s="1"/>
      <c r="D12">
        <v>9</v>
      </c>
      <c r="F12">
        <v>4</v>
      </c>
      <c r="I12" t="s">
        <v>8</v>
      </c>
    </row>
    <row r="13" spans="1:41" x14ac:dyDescent="0.2">
      <c r="B13" s="1">
        <v>42419</v>
      </c>
      <c r="C13" s="1"/>
      <c r="D13">
        <v>1</v>
      </c>
      <c r="F13">
        <v>3</v>
      </c>
      <c r="H13" t="s">
        <v>28</v>
      </c>
      <c r="I13">
        <f>1/I10</f>
        <v>0.13590449954086317</v>
      </c>
    </row>
    <row r="14" spans="1:41" x14ac:dyDescent="0.2">
      <c r="B14" s="1">
        <v>42420</v>
      </c>
      <c r="C14" s="1"/>
      <c r="D14">
        <v>1</v>
      </c>
      <c r="F14">
        <v>3</v>
      </c>
    </row>
    <row r="15" spans="1:41" x14ac:dyDescent="0.2">
      <c r="B15" s="1">
        <v>42431</v>
      </c>
      <c r="C15" s="1"/>
      <c r="D15">
        <v>11</v>
      </c>
      <c r="F15">
        <v>1</v>
      </c>
      <c r="H15" t="s">
        <v>29</v>
      </c>
      <c r="I15">
        <f>1-EXP(-$I$13*J4)</f>
        <v>0.12707400665868729</v>
      </c>
      <c r="J15">
        <f t="shared" ref="J15:AL15" si="4">1-EXP(-$I$13*K4)</f>
        <v>0.23800021014908257</v>
      </c>
      <c r="K15">
        <f t="shared" si="4"/>
        <v>0.33483057651851633</v>
      </c>
      <c r="L15">
        <f t="shared" si="4"/>
        <v>0.41935632026715763</v>
      </c>
      <c r="M15">
        <f t="shared" si="4"/>
        <v>0.49314103909185347</v>
      </c>
      <c r="N15">
        <f t="shared" si="4"/>
        <v>0.55754963806531066</v>
      </c>
      <c r="O15">
        <f t="shared" si="4"/>
        <v>0.61377357830393797</v>
      </c>
      <c r="P15">
        <f t="shared" si="4"/>
        <v>0.66285291718630435</v>
      </c>
      <c r="Q15">
        <f t="shared" si="4"/>
        <v>0.70569554783272892</v>
      </c>
      <c r="R15">
        <f t="shared" si="4"/>
        <v>0.74309399374711405</v>
      </c>
      <c r="S15">
        <f t="shared" si="4"/>
        <v>0.77574006929634998</v>
      </c>
      <c r="T15">
        <f t="shared" si="4"/>
        <v>0.80423767722386241</v>
      </c>
      <c r="U15">
        <f t="shared" si="4"/>
        <v>0.82911397993183744</v>
      </c>
      <c r="V15">
        <f t="shared" si="4"/>
        <v>0.85082915118385571</v>
      </c>
      <c r="W15">
        <f t="shared" si="4"/>
        <v>0.86978488861960046</v>
      </c>
      <c r="X15">
        <f t="shared" si="4"/>
        <v>0.88633184455021508</v>
      </c>
      <c r="Y15">
        <f t="shared" si="4"/>
        <v>0.90077611249272171</v>
      </c>
      <c r="Z15">
        <f t="shared" si="4"/>
        <v>0.91338488943452245</v>
      </c>
      <c r="AA15">
        <f t="shared" si="4"/>
        <v>0.92439141857126295</v>
      </c>
      <c r="AB15">
        <f t="shared" si="4"/>
        <v>0.93399930395119213</v>
      </c>
      <c r="AC15">
        <f t="shared" si="4"/>
        <v>0.94238627684037635</v>
      </c>
      <c r="AD15">
        <f t="shared" si="4"/>
        <v>0.94970748348079415</v>
      </c>
      <c r="AE15">
        <f t="shared" si="4"/>
        <v>0.95609835505983787</v>
      </c>
      <c r="AF15">
        <f t="shared" si="4"/>
        <v>0.96167711298129133</v>
      </c>
      <c r="AG15">
        <f t="shared" si="4"/>
        <v>0.96654695578148686</v>
      </c>
      <c r="AH15">
        <f t="shared" si="4"/>
        <v>0.97079796814526353</v>
      </c>
      <c r="AI15">
        <f t="shared" si="4"/>
        <v>0.97450878733561952</v>
      </c>
      <c r="AJ15">
        <f t="shared" si="4"/>
        <v>0.97774805786347097</v>
      </c>
      <c r="AK15">
        <f t="shared" si="4"/>
        <v>0.98057570130669702</v>
      </c>
      <c r="AL15">
        <f t="shared" si="4"/>
        <v>0.98304402476819008</v>
      </c>
    </row>
    <row r="16" spans="1:41" x14ac:dyDescent="0.2">
      <c r="B16" s="1">
        <v>42449</v>
      </c>
      <c r="C16" s="1"/>
      <c r="D16">
        <v>18</v>
      </c>
      <c r="F16">
        <v>2</v>
      </c>
      <c r="H16" t="s">
        <v>31</v>
      </c>
    </row>
    <row r="17" spans="2:23" x14ac:dyDescent="0.2">
      <c r="B17" s="1">
        <v>42466</v>
      </c>
      <c r="C17" s="1"/>
      <c r="D17">
        <v>17</v>
      </c>
      <c r="F17">
        <v>3</v>
      </c>
    </row>
    <row r="18" spans="2:23" x14ac:dyDescent="0.2">
      <c r="B18" s="1">
        <v>42471</v>
      </c>
      <c r="C18" s="1"/>
      <c r="D18">
        <v>5</v>
      </c>
      <c r="F18">
        <v>3</v>
      </c>
    </row>
    <row r="19" spans="2:23" x14ac:dyDescent="0.2">
      <c r="B19" s="1">
        <v>42483</v>
      </c>
      <c r="C19" s="1"/>
      <c r="D19">
        <v>12</v>
      </c>
      <c r="F19">
        <v>4</v>
      </c>
    </row>
    <row r="20" spans="2:23" x14ac:dyDescent="0.2">
      <c r="B20" s="1">
        <v>42509</v>
      </c>
      <c r="C20" s="1"/>
      <c r="D20">
        <v>26</v>
      </c>
      <c r="F20">
        <v>2</v>
      </c>
    </row>
    <row r="21" spans="2:23" x14ac:dyDescent="0.2">
      <c r="B21" s="1">
        <v>42512</v>
      </c>
      <c r="C21" s="1"/>
      <c r="D21">
        <v>3</v>
      </c>
      <c r="F21">
        <v>3</v>
      </c>
      <c r="J21" t="s">
        <v>10</v>
      </c>
    </row>
    <row r="22" spans="2:23" x14ac:dyDescent="0.2">
      <c r="B22" s="1">
        <v>42521</v>
      </c>
      <c r="C22" s="1"/>
      <c r="D22">
        <v>9</v>
      </c>
      <c r="F22">
        <v>1</v>
      </c>
      <c r="J22">
        <v>1</v>
      </c>
      <c r="K22">
        <f>J22+1</f>
        <v>2</v>
      </c>
      <c r="L22">
        <f t="shared" ref="L22:V22" si="5">K22+1</f>
        <v>3</v>
      </c>
      <c r="M22">
        <f t="shared" si="5"/>
        <v>4</v>
      </c>
      <c r="N22">
        <f t="shared" si="5"/>
        <v>5</v>
      </c>
      <c r="O22">
        <f t="shared" si="5"/>
        <v>6</v>
      </c>
      <c r="P22">
        <f t="shared" si="5"/>
        <v>7</v>
      </c>
      <c r="Q22">
        <f t="shared" si="5"/>
        <v>8</v>
      </c>
      <c r="R22">
        <f t="shared" si="5"/>
        <v>9</v>
      </c>
      <c r="S22">
        <f t="shared" si="5"/>
        <v>10</v>
      </c>
      <c r="T22">
        <f t="shared" si="5"/>
        <v>11</v>
      </c>
      <c r="U22">
        <f t="shared" si="5"/>
        <v>12</v>
      </c>
      <c r="V22">
        <f t="shared" si="5"/>
        <v>13</v>
      </c>
    </row>
    <row r="23" spans="2:23" x14ac:dyDescent="0.2">
      <c r="B23" s="1">
        <v>42522</v>
      </c>
      <c r="C23" s="1"/>
      <c r="D23">
        <v>1</v>
      </c>
      <c r="F23">
        <v>9</v>
      </c>
      <c r="I23" t="s">
        <v>11</v>
      </c>
      <c r="J23">
        <f>COUNTIF($F$4:$F$152,J22)</f>
        <v>52</v>
      </c>
      <c r="K23">
        <f t="shared" ref="K23:V23" si="6">COUNTIF($F$4:$F$152,K22)</f>
        <v>22</v>
      </c>
      <c r="L23">
        <f t="shared" si="6"/>
        <v>25</v>
      </c>
      <c r="M23">
        <f t="shared" si="6"/>
        <v>19</v>
      </c>
      <c r="N23">
        <f t="shared" si="6"/>
        <v>8</v>
      </c>
      <c r="O23">
        <f t="shared" si="6"/>
        <v>5</v>
      </c>
      <c r="P23">
        <f t="shared" si="6"/>
        <v>7</v>
      </c>
      <c r="Q23">
        <f t="shared" si="6"/>
        <v>1</v>
      </c>
      <c r="R23">
        <f t="shared" si="6"/>
        <v>4</v>
      </c>
      <c r="S23">
        <f t="shared" si="6"/>
        <v>4</v>
      </c>
      <c r="T23">
        <f t="shared" si="6"/>
        <v>0</v>
      </c>
      <c r="U23">
        <f t="shared" si="6"/>
        <v>1</v>
      </c>
      <c r="V23">
        <f t="shared" si="6"/>
        <v>1</v>
      </c>
      <c r="W23">
        <f>SUM(J23:V23)</f>
        <v>149</v>
      </c>
    </row>
    <row r="24" spans="2:23" x14ac:dyDescent="0.2">
      <c r="B24" s="1">
        <v>42527</v>
      </c>
      <c r="C24" s="1"/>
      <c r="D24">
        <v>5</v>
      </c>
      <c r="F24">
        <v>1</v>
      </c>
      <c r="I24" t="s">
        <v>12</v>
      </c>
      <c r="J24">
        <f>J23/SUM($I$23:$V$23)</f>
        <v>0.34899328859060402</v>
      </c>
      <c r="K24">
        <f t="shared" ref="K24:V24" si="7">K23/SUM($I$23:$V$23)</f>
        <v>0.1476510067114094</v>
      </c>
      <c r="L24">
        <f t="shared" si="7"/>
        <v>0.16778523489932887</v>
      </c>
      <c r="M24">
        <f t="shared" si="7"/>
        <v>0.12751677852348994</v>
      </c>
      <c r="N24">
        <f t="shared" si="7"/>
        <v>5.3691275167785234E-2</v>
      </c>
      <c r="O24">
        <f t="shared" si="7"/>
        <v>3.3557046979865772E-2</v>
      </c>
      <c r="P24">
        <f t="shared" si="7"/>
        <v>4.6979865771812082E-2</v>
      </c>
      <c r="Q24">
        <f t="shared" si="7"/>
        <v>6.7114093959731542E-3</v>
      </c>
      <c r="R24">
        <f t="shared" si="7"/>
        <v>2.6845637583892617E-2</v>
      </c>
      <c r="S24">
        <f t="shared" si="7"/>
        <v>2.6845637583892617E-2</v>
      </c>
      <c r="T24">
        <f t="shared" si="7"/>
        <v>0</v>
      </c>
      <c r="U24">
        <f t="shared" si="7"/>
        <v>6.7114093959731542E-3</v>
      </c>
      <c r="V24">
        <f t="shared" si="7"/>
        <v>6.7114093959731542E-3</v>
      </c>
      <c r="W24">
        <f>SUM(J24:V24)</f>
        <v>1</v>
      </c>
    </row>
    <row r="25" spans="2:23" x14ac:dyDescent="0.2">
      <c r="B25" s="1">
        <v>42530</v>
      </c>
      <c r="C25" s="1"/>
      <c r="D25">
        <v>3</v>
      </c>
      <c r="F25">
        <v>5</v>
      </c>
    </row>
    <row r="26" spans="2:23" x14ac:dyDescent="0.2">
      <c r="B26" s="1">
        <v>42532</v>
      </c>
      <c r="C26" s="1"/>
      <c r="D26">
        <v>2</v>
      </c>
      <c r="F26">
        <v>2</v>
      </c>
      <c r="I26" t="s">
        <v>15</v>
      </c>
    </row>
    <row r="27" spans="2:23" x14ac:dyDescent="0.2">
      <c r="B27" s="1">
        <v>42544</v>
      </c>
      <c r="C27" s="1"/>
      <c r="D27">
        <v>12</v>
      </c>
      <c r="F27">
        <v>7</v>
      </c>
    </row>
    <row r="28" spans="2:23" x14ac:dyDescent="0.2">
      <c r="B28" s="1">
        <v>42547</v>
      </c>
      <c r="C28" s="1"/>
      <c r="D28">
        <v>3</v>
      </c>
      <c r="F28">
        <v>1</v>
      </c>
      <c r="I28" t="s">
        <v>14</v>
      </c>
    </row>
    <row r="29" spans="2:23" x14ac:dyDescent="0.2">
      <c r="B29" s="1">
        <v>42549</v>
      </c>
      <c r="C29" s="1"/>
      <c r="D29">
        <v>2</v>
      </c>
      <c r="F29">
        <v>5</v>
      </c>
      <c r="I29">
        <f>SUMPRODUCT(J22:V22,J24:V24)</f>
        <v>3.1879194630872485</v>
      </c>
    </row>
    <row r="30" spans="2:23" x14ac:dyDescent="0.2">
      <c r="B30" s="1">
        <v>42550</v>
      </c>
      <c r="C30" s="1"/>
      <c r="D30">
        <v>1</v>
      </c>
      <c r="F30">
        <v>2</v>
      </c>
    </row>
    <row r="31" spans="2:23" x14ac:dyDescent="0.2">
      <c r="B31" s="1">
        <v>42556</v>
      </c>
      <c r="C31" s="1"/>
      <c r="D31">
        <v>6</v>
      </c>
      <c r="F31">
        <v>7</v>
      </c>
      <c r="I31" t="s">
        <v>16</v>
      </c>
    </row>
    <row r="32" spans="2:23" x14ac:dyDescent="0.2">
      <c r="B32" s="1">
        <v>42559</v>
      </c>
      <c r="C32" s="1"/>
      <c r="D32">
        <v>3</v>
      </c>
      <c r="F32">
        <v>2</v>
      </c>
      <c r="I32">
        <f>1-1/I29</f>
        <v>0.68631578947368421</v>
      </c>
    </row>
    <row r="33" spans="2:22" x14ac:dyDescent="0.2">
      <c r="B33" s="1">
        <v>42560</v>
      </c>
      <c r="C33" s="1"/>
      <c r="D33">
        <v>1</v>
      </c>
      <c r="F33">
        <v>1</v>
      </c>
    </row>
    <row r="34" spans="2:22" x14ac:dyDescent="0.2">
      <c r="B34" s="1">
        <v>42576</v>
      </c>
      <c r="C34" s="1"/>
      <c r="D34">
        <v>16</v>
      </c>
      <c r="F34">
        <v>1</v>
      </c>
      <c r="I34" t="s">
        <v>17</v>
      </c>
      <c r="J34">
        <f>1-I32</f>
        <v>0.31368421052631579</v>
      </c>
      <c r="K34">
        <f>J34*$I$32</f>
        <v>0.21528642659279779</v>
      </c>
      <c r="L34">
        <f t="shared" ref="L34:V34" si="8">K34*$I$32</f>
        <v>0.14775447383000437</v>
      </c>
      <c r="M34">
        <f t="shared" si="8"/>
        <v>0.10140622835490826</v>
      </c>
      <c r="N34">
        <f t="shared" si="8"/>
        <v>6.9596695670947561E-2</v>
      </c>
      <c r="O34">
        <f t="shared" si="8"/>
        <v>4.7765311134166114E-2</v>
      </c>
      <c r="P34">
        <f t="shared" si="8"/>
        <v>3.2782087220501376E-2</v>
      </c>
      <c r="Q34">
        <f t="shared" si="8"/>
        <v>2.2498864071333575E-2</v>
      </c>
      <c r="R34">
        <f t="shared" si="8"/>
        <v>1.5441325657378411E-2</v>
      </c>
      <c r="S34">
        <f t="shared" si="8"/>
        <v>1.059762560906392E-2</v>
      </c>
      <c r="T34">
        <f t="shared" si="8"/>
        <v>7.2733177864312383E-3</v>
      </c>
      <c r="U34">
        <f t="shared" si="8"/>
        <v>4.9917928386875449E-3</v>
      </c>
      <c r="V34">
        <f t="shared" si="8"/>
        <v>3.4259462429729257E-3</v>
      </c>
    </row>
    <row r="35" spans="2:22" x14ac:dyDescent="0.2">
      <c r="B35" s="1">
        <v>42584</v>
      </c>
      <c r="C35" s="1"/>
      <c r="D35">
        <v>8</v>
      </c>
      <c r="F35">
        <v>3</v>
      </c>
      <c r="I35" t="s">
        <v>22</v>
      </c>
    </row>
    <row r="36" spans="2:22" x14ac:dyDescent="0.2">
      <c r="B36" s="1">
        <v>42603</v>
      </c>
      <c r="C36" s="1"/>
      <c r="D36">
        <v>19</v>
      </c>
      <c r="F36">
        <v>1</v>
      </c>
    </row>
    <row r="37" spans="2:22" x14ac:dyDescent="0.2">
      <c r="B37" s="1">
        <v>42605</v>
      </c>
      <c r="C37" s="1"/>
      <c r="D37">
        <v>2</v>
      </c>
      <c r="F37">
        <v>6</v>
      </c>
      <c r="I37" t="s">
        <v>25</v>
      </c>
    </row>
    <row r="38" spans="2:22" x14ac:dyDescent="0.2">
      <c r="B38" s="1">
        <v>42610</v>
      </c>
      <c r="C38" s="1"/>
      <c r="D38">
        <v>5</v>
      </c>
      <c r="F38">
        <v>1</v>
      </c>
      <c r="I38" t="s">
        <v>24</v>
      </c>
      <c r="J38">
        <v>0.95</v>
      </c>
    </row>
    <row r="39" spans="2:22" x14ac:dyDescent="0.2">
      <c r="B39" s="1">
        <v>42613</v>
      </c>
      <c r="C39" s="1"/>
      <c r="D39">
        <v>3</v>
      </c>
      <c r="F39">
        <v>1</v>
      </c>
      <c r="I39" t="s">
        <v>19</v>
      </c>
      <c r="J39">
        <v>50</v>
      </c>
    </row>
    <row r="40" spans="2:22" x14ac:dyDescent="0.2">
      <c r="B40" s="1">
        <v>42622</v>
      </c>
      <c r="C40" s="1"/>
      <c r="D40">
        <v>9</v>
      </c>
      <c r="F40">
        <v>4</v>
      </c>
    </row>
    <row r="41" spans="2:22" x14ac:dyDescent="0.2">
      <c r="B41" s="1">
        <v>42639</v>
      </c>
      <c r="C41" s="1"/>
      <c r="D41">
        <v>17</v>
      </c>
      <c r="F41">
        <v>3</v>
      </c>
      <c r="I41" t="s">
        <v>23</v>
      </c>
      <c r="J41">
        <v>7</v>
      </c>
      <c r="K41" t="s">
        <v>7</v>
      </c>
    </row>
    <row r="42" spans="2:22" x14ac:dyDescent="0.2">
      <c r="B42" s="1">
        <v>42645</v>
      </c>
      <c r="C42" s="1"/>
      <c r="D42">
        <v>6</v>
      </c>
      <c r="F42">
        <v>1</v>
      </c>
    </row>
    <row r="43" spans="2:22" x14ac:dyDescent="0.2">
      <c r="B43" s="1">
        <v>42649</v>
      </c>
      <c r="C43" s="1"/>
      <c r="D43">
        <v>4</v>
      </c>
      <c r="F43">
        <v>1</v>
      </c>
    </row>
    <row r="44" spans="2:22" x14ac:dyDescent="0.2">
      <c r="B44" s="1">
        <v>42655</v>
      </c>
      <c r="C44" s="1"/>
      <c r="D44">
        <v>6</v>
      </c>
      <c r="F44">
        <v>3</v>
      </c>
    </row>
    <row r="45" spans="2:22" x14ac:dyDescent="0.2">
      <c r="B45" s="1">
        <v>42671</v>
      </c>
      <c r="C45" s="1"/>
      <c r="D45">
        <v>16</v>
      </c>
      <c r="F45">
        <v>3</v>
      </c>
    </row>
    <row r="46" spans="2:22" x14ac:dyDescent="0.2">
      <c r="B46" s="1">
        <v>42673</v>
      </c>
      <c r="C46" s="1"/>
      <c r="D46">
        <v>2</v>
      </c>
      <c r="F46">
        <v>1</v>
      </c>
    </row>
    <row r="47" spans="2:22" x14ac:dyDescent="0.2">
      <c r="B47" s="1">
        <v>42680</v>
      </c>
      <c r="C47" s="1"/>
      <c r="D47">
        <v>7</v>
      </c>
      <c r="F47">
        <v>2</v>
      </c>
    </row>
    <row r="48" spans="2:22" x14ac:dyDescent="0.2">
      <c r="B48" s="1">
        <v>42680</v>
      </c>
      <c r="C48" s="1"/>
      <c r="D48">
        <v>0</v>
      </c>
      <c r="F48">
        <v>4</v>
      </c>
    </row>
    <row r="49" spans="2:6" x14ac:dyDescent="0.2">
      <c r="B49" s="1">
        <v>42684</v>
      </c>
      <c r="C49" s="1"/>
      <c r="D49">
        <v>4</v>
      </c>
      <c r="F49">
        <v>1</v>
      </c>
    </row>
    <row r="50" spans="2:6" x14ac:dyDescent="0.2">
      <c r="B50" s="1">
        <v>42687</v>
      </c>
      <c r="C50" s="1"/>
      <c r="D50">
        <v>3</v>
      </c>
      <c r="F50">
        <v>3</v>
      </c>
    </row>
    <row r="51" spans="2:6" x14ac:dyDescent="0.2">
      <c r="B51" s="1">
        <v>42701</v>
      </c>
      <c r="C51" s="1"/>
      <c r="D51">
        <v>14</v>
      </c>
      <c r="F51">
        <v>2</v>
      </c>
    </row>
    <row r="52" spans="2:6" x14ac:dyDescent="0.2">
      <c r="B52" s="1">
        <v>42701</v>
      </c>
      <c r="C52" s="1"/>
      <c r="D52">
        <v>0</v>
      </c>
      <c r="F52">
        <v>1</v>
      </c>
    </row>
    <row r="53" spans="2:6" x14ac:dyDescent="0.2">
      <c r="B53" s="1">
        <v>42701</v>
      </c>
      <c r="C53" s="1"/>
      <c r="D53">
        <v>0</v>
      </c>
      <c r="F53">
        <v>1</v>
      </c>
    </row>
    <row r="54" spans="2:6" x14ac:dyDescent="0.2">
      <c r="B54" s="1">
        <v>42715</v>
      </c>
      <c r="C54" s="1"/>
      <c r="D54">
        <v>14</v>
      </c>
      <c r="F54">
        <v>13</v>
      </c>
    </row>
    <row r="55" spans="2:6" x14ac:dyDescent="0.2">
      <c r="B55" s="1">
        <v>42720</v>
      </c>
      <c r="C55" s="1"/>
      <c r="D55">
        <v>5</v>
      </c>
      <c r="F55">
        <v>5</v>
      </c>
    </row>
    <row r="56" spans="2:6" x14ac:dyDescent="0.2">
      <c r="B56" s="1">
        <v>42725</v>
      </c>
      <c r="C56" s="1"/>
      <c r="D56">
        <v>5</v>
      </c>
      <c r="F56">
        <v>1</v>
      </c>
    </row>
    <row r="57" spans="2:6" x14ac:dyDescent="0.2">
      <c r="B57" s="1">
        <v>42731</v>
      </c>
      <c r="C57" s="1"/>
      <c r="D57">
        <v>6</v>
      </c>
      <c r="F57">
        <v>2</v>
      </c>
    </row>
    <row r="58" spans="2:6" x14ac:dyDescent="0.2">
      <c r="B58" s="1">
        <v>42739</v>
      </c>
      <c r="C58" s="1"/>
      <c r="D58">
        <v>8</v>
      </c>
      <c r="F58">
        <v>1</v>
      </c>
    </row>
    <row r="59" spans="2:6" x14ac:dyDescent="0.2">
      <c r="B59" s="1">
        <v>42742</v>
      </c>
      <c r="C59" s="1"/>
      <c r="D59">
        <v>3</v>
      </c>
      <c r="F59">
        <v>2</v>
      </c>
    </row>
    <row r="60" spans="2:6" x14ac:dyDescent="0.2">
      <c r="B60" s="1">
        <v>42769</v>
      </c>
      <c r="C60" s="1"/>
      <c r="D60">
        <v>27</v>
      </c>
      <c r="F60">
        <v>1</v>
      </c>
    </row>
    <row r="61" spans="2:6" x14ac:dyDescent="0.2">
      <c r="B61" s="1">
        <v>42773</v>
      </c>
      <c r="C61" s="1"/>
      <c r="D61">
        <v>4</v>
      </c>
      <c r="F61">
        <v>10</v>
      </c>
    </row>
    <row r="62" spans="2:6" x14ac:dyDescent="0.2">
      <c r="B62" s="1">
        <v>42775</v>
      </c>
      <c r="C62" s="1"/>
      <c r="D62">
        <v>2</v>
      </c>
      <c r="F62">
        <v>3</v>
      </c>
    </row>
    <row r="63" spans="2:6" x14ac:dyDescent="0.2">
      <c r="B63" s="1">
        <v>42781</v>
      </c>
      <c r="C63" s="1"/>
      <c r="D63">
        <v>6</v>
      </c>
      <c r="F63">
        <v>9</v>
      </c>
    </row>
    <row r="64" spans="2:6" x14ac:dyDescent="0.2">
      <c r="B64" s="1">
        <v>42797</v>
      </c>
      <c r="C64" s="1"/>
      <c r="D64">
        <v>16</v>
      </c>
      <c r="F64">
        <v>1</v>
      </c>
    </row>
    <row r="65" spans="2:6" x14ac:dyDescent="0.2">
      <c r="B65" s="1">
        <v>42803</v>
      </c>
      <c r="C65" s="1"/>
      <c r="D65">
        <v>6</v>
      </c>
      <c r="F65">
        <v>1</v>
      </c>
    </row>
    <row r="66" spans="2:6" x14ac:dyDescent="0.2">
      <c r="B66" s="1">
        <v>42808</v>
      </c>
      <c r="C66" s="1"/>
      <c r="D66">
        <v>5</v>
      </c>
      <c r="F66">
        <v>1</v>
      </c>
    </row>
    <row r="67" spans="2:6" x14ac:dyDescent="0.2">
      <c r="B67" s="1">
        <v>42811</v>
      </c>
      <c r="C67" s="1"/>
      <c r="D67">
        <v>3</v>
      </c>
      <c r="F67">
        <v>1</v>
      </c>
    </row>
    <row r="68" spans="2:6" x14ac:dyDescent="0.2">
      <c r="B68" s="1">
        <v>42812</v>
      </c>
      <c r="C68" s="1"/>
      <c r="D68">
        <v>1</v>
      </c>
      <c r="F68">
        <v>3</v>
      </c>
    </row>
    <row r="69" spans="2:6" x14ac:dyDescent="0.2">
      <c r="B69" s="1">
        <v>42813</v>
      </c>
      <c r="C69" s="1"/>
      <c r="D69">
        <v>1</v>
      </c>
      <c r="F69">
        <v>1</v>
      </c>
    </row>
    <row r="70" spans="2:6" x14ac:dyDescent="0.2">
      <c r="B70" s="1">
        <v>42816</v>
      </c>
      <c r="C70" s="1"/>
      <c r="D70">
        <v>3</v>
      </c>
      <c r="F70">
        <v>1</v>
      </c>
    </row>
    <row r="71" spans="2:6" x14ac:dyDescent="0.2">
      <c r="B71" s="1">
        <v>42817</v>
      </c>
      <c r="C71" s="1"/>
      <c r="D71">
        <v>1</v>
      </c>
      <c r="F71">
        <v>4</v>
      </c>
    </row>
    <row r="72" spans="2:6" x14ac:dyDescent="0.2">
      <c r="B72" s="1">
        <v>42823</v>
      </c>
      <c r="C72" s="1"/>
      <c r="D72">
        <v>6</v>
      </c>
      <c r="F72">
        <v>3</v>
      </c>
    </row>
    <row r="73" spans="2:6" x14ac:dyDescent="0.2">
      <c r="B73" s="1">
        <v>42837</v>
      </c>
      <c r="C73" s="1"/>
      <c r="D73">
        <v>14</v>
      </c>
      <c r="F73">
        <v>3</v>
      </c>
    </row>
    <row r="74" spans="2:6" x14ac:dyDescent="0.2">
      <c r="B74" s="1">
        <v>42838</v>
      </c>
      <c r="C74" s="1"/>
      <c r="D74">
        <v>1</v>
      </c>
      <c r="F74">
        <v>2</v>
      </c>
    </row>
    <row r="75" spans="2:6" x14ac:dyDescent="0.2">
      <c r="B75" s="1">
        <v>42838</v>
      </c>
      <c r="C75" s="1"/>
      <c r="D75">
        <v>0</v>
      </c>
      <c r="F75">
        <v>1</v>
      </c>
    </row>
    <row r="76" spans="2:6" x14ac:dyDescent="0.2">
      <c r="B76" s="1">
        <v>42878</v>
      </c>
      <c r="C76" s="1"/>
      <c r="D76">
        <v>40</v>
      </c>
      <c r="F76">
        <v>1</v>
      </c>
    </row>
    <row r="77" spans="2:6" x14ac:dyDescent="0.2">
      <c r="B77" s="1">
        <v>42886</v>
      </c>
      <c r="C77" s="1"/>
      <c r="D77">
        <v>8</v>
      </c>
      <c r="F77">
        <v>5</v>
      </c>
    </row>
    <row r="78" spans="2:6" x14ac:dyDescent="0.2">
      <c r="B78" s="1">
        <v>42894</v>
      </c>
      <c r="C78" s="1"/>
      <c r="D78">
        <v>8</v>
      </c>
      <c r="F78">
        <v>5</v>
      </c>
    </row>
    <row r="79" spans="2:6" x14ac:dyDescent="0.2">
      <c r="B79" s="1">
        <v>42899</v>
      </c>
      <c r="C79" s="1"/>
      <c r="D79">
        <v>5</v>
      </c>
      <c r="F79">
        <v>4</v>
      </c>
    </row>
    <row r="80" spans="2:6" x14ac:dyDescent="0.2">
      <c r="B80" s="1">
        <v>42904</v>
      </c>
      <c r="C80" s="1"/>
      <c r="D80">
        <v>5</v>
      </c>
      <c r="F80">
        <v>1</v>
      </c>
    </row>
    <row r="81" spans="2:6" x14ac:dyDescent="0.2">
      <c r="B81" s="1">
        <v>42917</v>
      </c>
      <c r="C81" s="1"/>
      <c r="D81">
        <v>13</v>
      </c>
      <c r="F81">
        <v>3</v>
      </c>
    </row>
    <row r="82" spans="2:6" x14ac:dyDescent="0.2">
      <c r="B82" s="1">
        <v>42924</v>
      </c>
      <c r="C82" s="1"/>
      <c r="D82">
        <v>7</v>
      </c>
      <c r="F82">
        <v>4</v>
      </c>
    </row>
    <row r="83" spans="2:6" x14ac:dyDescent="0.2">
      <c r="B83" s="1">
        <v>42924</v>
      </c>
      <c r="C83" s="1"/>
      <c r="D83">
        <v>0</v>
      </c>
      <c r="F83">
        <v>3</v>
      </c>
    </row>
    <row r="84" spans="2:6" x14ac:dyDescent="0.2">
      <c r="B84" s="1">
        <v>42936</v>
      </c>
      <c r="C84" s="1"/>
      <c r="D84">
        <v>12</v>
      </c>
      <c r="F84">
        <v>4</v>
      </c>
    </row>
    <row r="85" spans="2:6" x14ac:dyDescent="0.2">
      <c r="B85" s="1">
        <v>42937</v>
      </c>
      <c r="C85" s="1"/>
      <c r="D85">
        <v>1</v>
      </c>
      <c r="F85">
        <v>2</v>
      </c>
    </row>
    <row r="86" spans="2:6" x14ac:dyDescent="0.2">
      <c r="B86" s="1">
        <v>42958</v>
      </c>
      <c r="C86" s="1"/>
      <c r="D86">
        <v>21</v>
      </c>
      <c r="F86">
        <v>4</v>
      </c>
    </row>
    <row r="87" spans="2:6" x14ac:dyDescent="0.2">
      <c r="B87" s="1">
        <v>42988</v>
      </c>
      <c r="C87" s="1"/>
      <c r="D87">
        <v>30</v>
      </c>
      <c r="F87">
        <v>4</v>
      </c>
    </row>
    <row r="88" spans="2:6" x14ac:dyDescent="0.2">
      <c r="B88" s="1">
        <v>42988</v>
      </c>
      <c r="C88" s="1"/>
      <c r="D88">
        <v>0</v>
      </c>
      <c r="F88">
        <v>6</v>
      </c>
    </row>
    <row r="89" spans="2:6" x14ac:dyDescent="0.2">
      <c r="B89" s="1">
        <v>43001</v>
      </c>
      <c r="C89" s="1"/>
      <c r="D89">
        <v>13</v>
      </c>
      <c r="F89">
        <v>1</v>
      </c>
    </row>
    <row r="90" spans="2:6" x14ac:dyDescent="0.2">
      <c r="B90" s="1">
        <v>43003</v>
      </c>
      <c r="C90" s="1"/>
      <c r="D90">
        <v>2</v>
      </c>
      <c r="F90">
        <v>3</v>
      </c>
    </row>
    <row r="91" spans="2:6" x14ac:dyDescent="0.2">
      <c r="B91" s="1">
        <v>43008</v>
      </c>
      <c r="C91" s="1"/>
      <c r="D91">
        <v>5</v>
      </c>
      <c r="F91">
        <v>2</v>
      </c>
    </row>
    <row r="92" spans="2:6" x14ac:dyDescent="0.2">
      <c r="B92" s="1">
        <v>43017</v>
      </c>
      <c r="C92" s="1"/>
      <c r="D92">
        <v>9</v>
      </c>
      <c r="F92">
        <v>2</v>
      </c>
    </row>
    <row r="93" spans="2:6" x14ac:dyDescent="0.2">
      <c r="B93" s="1">
        <v>43019</v>
      </c>
      <c r="C93" s="1"/>
      <c r="D93">
        <v>2</v>
      </c>
      <c r="F93">
        <v>8</v>
      </c>
    </row>
    <row r="94" spans="2:6" x14ac:dyDescent="0.2">
      <c r="B94" s="1">
        <v>43028</v>
      </c>
      <c r="C94" s="1"/>
      <c r="D94">
        <v>9</v>
      </c>
      <c r="F94">
        <v>1</v>
      </c>
    </row>
    <row r="95" spans="2:6" x14ac:dyDescent="0.2">
      <c r="B95" s="1">
        <v>43030</v>
      </c>
      <c r="C95" s="1"/>
      <c r="D95">
        <v>2</v>
      </c>
      <c r="F95">
        <v>2</v>
      </c>
    </row>
    <row r="96" spans="2:6" x14ac:dyDescent="0.2">
      <c r="B96" s="1">
        <v>43038</v>
      </c>
      <c r="C96" s="1"/>
      <c r="D96">
        <v>8</v>
      </c>
      <c r="F96">
        <v>7</v>
      </c>
    </row>
    <row r="97" spans="2:6" x14ac:dyDescent="0.2">
      <c r="B97" s="1">
        <v>43043</v>
      </c>
      <c r="C97" s="1"/>
      <c r="D97">
        <v>5</v>
      </c>
      <c r="F97">
        <v>10</v>
      </c>
    </row>
    <row r="98" spans="2:6" x14ac:dyDescent="0.2">
      <c r="B98" s="1">
        <v>43047</v>
      </c>
      <c r="C98" s="1"/>
      <c r="D98">
        <v>4</v>
      </c>
      <c r="F98">
        <v>1</v>
      </c>
    </row>
    <row r="99" spans="2:6" x14ac:dyDescent="0.2">
      <c r="B99" s="1">
        <v>43063</v>
      </c>
      <c r="C99" s="1"/>
      <c r="D99">
        <v>16</v>
      </c>
      <c r="F99">
        <v>3</v>
      </c>
    </row>
    <row r="100" spans="2:6" x14ac:dyDescent="0.2">
      <c r="B100" s="1">
        <v>43071</v>
      </c>
      <c r="C100" s="1"/>
      <c r="D100">
        <v>8</v>
      </c>
      <c r="F100">
        <v>4</v>
      </c>
    </row>
    <row r="101" spans="2:6" x14ac:dyDescent="0.2">
      <c r="B101" s="1">
        <v>43076</v>
      </c>
      <c r="C101" s="1"/>
      <c r="D101">
        <v>5</v>
      </c>
      <c r="F101">
        <v>7</v>
      </c>
    </row>
    <row r="102" spans="2:6" x14ac:dyDescent="0.2">
      <c r="B102" s="1">
        <v>43077</v>
      </c>
      <c r="C102" s="1"/>
      <c r="D102">
        <v>1</v>
      </c>
      <c r="F102">
        <v>1</v>
      </c>
    </row>
    <row r="103" spans="2:6" x14ac:dyDescent="0.2">
      <c r="B103" s="1">
        <v>43083</v>
      </c>
      <c r="C103" s="1"/>
      <c r="D103">
        <v>6</v>
      </c>
      <c r="F103">
        <v>3</v>
      </c>
    </row>
    <row r="104" spans="2:6" x14ac:dyDescent="0.2">
      <c r="B104" s="1">
        <v>43108</v>
      </c>
      <c r="C104" s="1"/>
      <c r="D104">
        <v>25</v>
      </c>
      <c r="F104">
        <v>7</v>
      </c>
    </row>
    <row r="105" spans="2:6" x14ac:dyDescent="0.2">
      <c r="B105" s="1">
        <v>43110</v>
      </c>
      <c r="C105" s="1"/>
      <c r="D105">
        <v>2</v>
      </c>
      <c r="F105">
        <v>4</v>
      </c>
    </row>
    <row r="106" spans="2:6" x14ac:dyDescent="0.2">
      <c r="B106" s="1">
        <v>43114</v>
      </c>
      <c r="C106" s="1"/>
      <c r="D106">
        <v>4</v>
      </c>
      <c r="F106">
        <v>3</v>
      </c>
    </row>
    <row r="107" spans="2:6" x14ac:dyDescent="0.2">
      <c r="B107" s="1">
        <v>43127</v>
      </c>
      <c r="C107" s="1"/>
      <c r="D107">
        <v>13</v>
      </c>
      <c r="F107">
        <v>1</v>
      </c>
    </row>
    <row r="108" spans="2:6" x14ac:dyDescent="0.2">
      <c r="B108" s="1">
        <v>43140</v>
      </c>
      <c r="C108" s="1"/>
      <c r="D108">
        <v>13</v>
      </c>
      <c r="F108">
        <v>5</v>
      </c>
    </row>
    <row r="109" spans="2:6" x14ac:dyDescent="0.2">
      <c r="B109" s="1">
        <v>43145</v>
      </c>
      <c r="C109" s="1"/>
      <c r="D109">
        <v>5</v>
      </c>
      <c r="F109">
        <v>4</v>
      </c>
    </row>
    <row r="110" spans="2:6" x14ac:dyDescent="0.2">
      <c r="B110" s="1">
        <v>43146</v>
      </c>
      <c r="C110" s="1"/>
      <c r="D110">
        <v>1</v>
      </c>
      <c r="F110">
        <v>1</v>
      </c>
    </row>
    <row r="111" spans="2:6" x14ac:dyDescent="0.2">
      <c r="B111" s="1">
        <v>43158</v>
      </c>
      <c r="C111" s="1"/>
      <c r="D111">
        <v>12</v>
      </c>
      <c r="F111">
        <v>1</v>
      </c>
    </row>
    <row r="112" spans="2:6" x14ac:dyDescent="0.2">
      <c r="B112" s="1">
        <v>43164</v>
      </c>
      <c r="C112" s="1"/>
      <c r="D112">
        <v>6</v>
      </c>
      <c r="F112">
        <v>3</v>
      </c>
    </row>
    <row r="113" spans="2:6" x14ac:dyDescent="0.2">
      <c r="B113" s="1">
        <v>43164</v>
      </c>
      <c r="C113" s="1"/>
      <c r="D113">
        <v>0</v>
      </c>
      <c r="F113">
        <v>1</v>
      </c>
    </row>
    <row r="114" spans="2:6" x14ac:dyDescent="0.2">
      <c r="B114" s="1">
        <v>43184</v>
      </c>
      <c r="C114" s="1"/>
      <c r="D114">
        <v>20</v>
      </c>
      <c r="F114">
        <v>4</v>
      </c>
    </row>
    <row r="115" spans="2:6" x14ac:dyDescent="0.2">
      <c r="B115" s="1">
        <v>43190</v>
      </c>
      <c r="C115" s="1"/>
      <c r="D115">
        <v>6</v>
      </c>
      <c r="F115">
        <v>1</v>
      </c>
    </row>
    <row r="116" spans="2:6" x14ac:dyDescent="0.2">
      <c r="B116" s="1">
        <v>43211</v>
      </c>
      <c r="C116" s="1"/>
      <c r="D116">
        <v>21</v>
      </c>
      <c r="F116">
        <v>1</v>
      </c>
    </row>
    <row r="117" spans="2:6" x14ac:dyDescent="0.2">
      <c r="B117" s="1">
        <v>43216</v>
      </c>
      <c r="C117" s="1"/>
      <c r="D117">
        <v>5</v>
      </c>
      <c r="F117">
        <v>4</v>
      </c>
    </row>
    <row r="118" spans="2:6" x14ac:dyDescent="0.2">
      <c r="B118" s="1">
        <v>43229</v>
      </c>
      <c r="C118" s="1"/>
      <c r="D118">
        <v>13</v>
      </c>
      <c r="F118">
        <v>10</v>
      </c>
    </row>
    <row r="119" spans="2:6" x14ac:dyDescent="0.2">
      <c r="B119" s="1">
        <v>43236</v>
      </c>
      <c r="C119" s="1"/>
      <c r="D119">
        <v>7</v>
      </c>
      <c r="F119">
        <v>1</v>
      </c>
    </row>
    <row r="120" spans="2:6" x14ac:dyDescent="0.2">
      <c r="B120" s="1">
        <v>43237</v>
      </c>
      <c r="C120" s="1"/>
      <c r="D120">
        <v>1</v>
      </c>
      <c r="F120">
        <v>2</v>
      </c>
    </row>
    <row r="121" spans="2:6" x14ac:dyDescent="0.2">
      <c r="B121" s="1">
        <v>43242</v>
      </c>
      <c r="C121" s="1"/>
      <c r="D121">
        <v>5</v>
      </c>
      <c r="F121">
        <v>1</v>
      </c>
    </row>
    <row r="122" spans="2:6" x14ac:dyDescent="0.2">
      <c r="B122" s="1">
        <v>43247</v>
      </c>
      <c r="C122" s="1"/>
      <c r="D122">
        <v>5</v>
      </c>
      <c r="F122">
        <v>12</v>
      </c>
    </row>
    <row r="123" spans="2:6" x14ac:dyDescent="0.2">
      <c r="B123" s="1">
        <v>43251</v>
      </c>
      <c r="C123" s="1"/>
      <c r="D123">
        <v>4</v>
      </c>
      <c r="F123">
        <v>3</v>
      </c>
    </row>
    <row r="124" spans="2:6" x14ac:dyDescent="0.2">
      <c r="B124" s="1">
        <v>43255</v>
      </c>
      <c r="C124" s="1"/>
      <c r="D124">
        <v>4</v>
      </c>
      <c r="F124">
        <v>2</v>
      </c>
    </row>
    <row r="125" spans="2:6" x14ac:dyDescent="0.2">
      <c r="B125" s="1">
        <v>43262</v>
      </c>
      <c r="C125" s="1"/>
      <c r="D125">
        <v>7</v>
      </c>
      <c r="F125">
        <v>5</v>
      </c>
    </row>
    <row r="126" spans="2:6" x14ac:dyDescent="0.2">
      <c r="B126" s="1">
        <v>43271</v>
      </c>
      <c r="C126" s="1"/>
      <c r="D126">
        <v>9</v>
      </c>
      <c r="F126">
        <v>2</v>
      </c>
    </row>
    <row r="127" spans="2:6" x14ac:dyDescent="0.2">
      <c r="B127" s="1">
        <v>43272</v>
      </c>
      <c r="C127" s="1"/>
      <c r="D127">
        <v>1</v>
      </c>
      <c r="F127">
        <v>1</v>
      </c>
    </row>
    <row r="128" spans="2:6" x14ac:dyDescent="0.2">
      <c r="B128" s="1">
        <v>43273</v>
      </c>
      <c r="C128" s="1"/>
      <c r="D128">
        <v>1</v>
      </c>
      <c r="F128">
        <v>1</v>
      </c>
    </row>
    <row r="129" spans="2:6" x14ac:dyDescent="0.2">
      <c r="B129" s="1">
        <v>43273</v>
      </c>
      <c r="C129" s="1"/>
      <c r="D129">
        <v>0</v>
      </c>
      <c r="F129">
        <v>1</v>
      </c>
    </row>
    <row r="130" spans="2:6" x14ac:dyDescent="0.2">
      <c r="B130" s="1">
        <v>43274</v>
      </c>
      <c r="C130" s="1"/>
      <c r="D130">
        <v>1</v>
      </c>
      <c r="F130">
        <v>3</v>
      </c>
    </row>
    <row r="131" spans="2:6" x14ac:dyDescent="0.2">
      <c r="B131" s="1">
        <v>43286</v>
      </c>
      <c r="C131" s="1"/>
      <c r="D131">
        <v>12</v>
      </c>
      <c r="F131">
        <v>4</v>
      </c>
    </row>
    <row r="132" spans="2:6" x14ac:dyDescent="0.2">
      <c r="B132" s="1">
        <v>43293</v>
      </c>
      <c r="C132" s="1"/>
      <c r="D132">
        <v>7</v>
      </c>
      <c r="F132">
        <v>6</v>
      </c>
    </row>
    <row r="133" spans="2:6" x14ac:dyDescent="0.2">
      <c r="B133" s="1">
        <v>43294</v>
      </c>
      <c r="C133" s="1"/>
      <c r="D133">
        <v>1</v>
      </c>
      <c r="F133">
        <v>1</v>
      </c>
    </row>
    <row r="134" spans="2:6" x14ac:dyDescent="0.2">
      <c r="B134" s="1">
        <v>43297</v>
      </c>
      <c r="C134" s="1"/>
      <c r="D134">
        <v>3</v>
      </c>
      <c r="F134">
        <v>4</v>
      </c>
    </row>
    <row r="135" spans="2:6" x14ac:dyDescent="0.2">
      <c r="B135" s="1">
        <v>43305</v>
      </c>
      <c r="C135" s="1"/>
      <c r="D135">
        <v>8</v>
      </c>
      <c r="F135">
        <v>2</v>
      </c>
    </row>
    <row r="136" spans="2:6" x14ac:dyDescent="0.2">
      <c r="B136" s="1">
        <v>43309</v>
      </c>
      <c r="C136" s="1"/>
      <c r="D136">
        <v>4</v>
      </c>
      <c r="F136">
        <v>2</v>
      </c>
    </row>
    <row r="137" spans="2:6" x14ac:dyDescent="0.2">
      <c r="B137" s="1">
        <v>43316</v>
      </c>
      <c r="C137" s="1"/>
      <c r="D137">
        <v>7</v>
      </c>
      <c r="F137">
        <v>2</v>
      </c>
    </row>
    <row r="138" spans="2:6" x14ac:dyDescent="0.2">
      <c r="B138" s="1">
        <v>43321</v>
      </c>
      <c r="C138" s="1"/>
      <c r="D138">
        <v>5</v>
      </c>
      <c r="F138">
        <v>3</v>
      </c>
    </row>
    <row r="139" spans="2:6" x14ac:dyDescent="0.2">
      <c r="B139" s="1">
        <v>43338</v>
      </c>
      <c r="C139" s="1"/>
      <c r="D139">
        <v>17</v>
      </c>
      <c r="F139">
        <v>2</v>
      </c>
    </row>
    <row r="140" spans="2:6" x14ac:dyDescent="0.2">
      <c r="B140" s="1">
        <v>43348</v>
      </c>
      <c r="C140" s="1"/>
      <c r="D140">
        <v>10</v>
      </c>
      <c r="F140">
        <v>1</v>
      </c>
    </row>
    <row r="141" spans="2:6" x14ac:dyDescent="0.2">
      <c r="B141" s="1">
        <v>43351</v>
      </c>
      <c r="C141" s="1"/>
      <c r="D141">
        <v>3</v>
      </c>
      <c r="F141">
        <v>2</v>
      </c>
    </row>
    <row r="142" spans="2:6" x14ac:dyDescent="0.2">
      <c r="B142" s="1">
        <v>43355</v>
      </c>
      <c r="C142" s="1"/>
      <c r="D142">
        <v>4</v>
      </c>
      <c r="F142">
        <v>1</v>
      </c>
    </row>
    <row r="143" spans="2:6" x14ac:dyDescent="0.2">
      <c r="B143" s="1">
        <v>43361</v>
      </c>
      <c r="C143" s="1"/>
      <c r="D143">
        <v>6</v>
      </c>
      <c r="F143">
        <v>1</v>
      </c>
    </row>
    <row r="144" spans="2:6" x14ac:dyDescent="0.2">
      <c r="B144" s="1">
        <v>43361</v>
      </c>
      <c r="C144" s="1"/>
      <c r="D144">
        <v>0</v>
      </c>
      <c r="F144">
        <v>9</v>
      </c>
    </row>
    <row r="145" spans="2:6" x14ac:dyDescent="0.2">
      <c r="B145" s="1">
        <v>43378</v>
      </c>
      <c r="C145" s="1"/>
      <c r="D145">
        <v>17</v>
      </c>
      <c r="F145">
        <v>6</v>
      </c>
    </row>
    <row r="146" spans="2:6" x14ac:dyDescent="0.2">
      <c r="B146" s="1">
        <v>43385</v>
      </c>
      <c r="C146" s="1"/>
      <c r="D146">
        <v>7</v>
      </c>
      <c r="F146">
        <v>9</v>
      </c>
    </row>
    <row r="147" spans="2:6" x14ac:dyDescent="0.2">
      <c r="B147" s="1">
        <v>43399</v>
      </c>
      <c r="C147" s="1"/>
      <c r="D147">
        <v>14</v>
      </c>
      <c r="F147">
        <v>6</v>
      </c>
    </row>
    <row r="148" spans="2:6" x14ac:dyDescent="0.2">
      <c r="B148" s="1">
        <v>43408</v>
      </c>
      <c r="C148" s="1"/>
      <c r="D148">
        <v>9</v>
      </c>
      <c r="F148">
        <v>1</v>
      </c>
    </row>
    <row r="149" spans="2:6" x14ac:dyDescent="0.2">
      <c r="B149" s="1">
        <v>43449</v>
      </c>
      <c r="C149" s="1"/>
      <c r="D149">
        <v>41</v>
      </c>
      <c r="F149">
        <v>5</v>
      </c>
    </row>
    <row r="150" spans="2:6" x14ac:dyDescent="0.2">
      <c r="B150" s="1">
        <v>43451</v>
      </c>
      <c r="C150" s="1"/>
      <c r="D150">
        <v>2</v>
      </c>
      <c r="F150">
        <v>3</v>
      </c>
    </row>
    <row r="151" spans="2:6" x14ac:dyDescent="0.2">
      <c r="B151" s="1">
        <v>43455</v>
      </c>
      <c r="C151" s="1"/>
      <c r="D151">
        <v>4</v>
      </c>
      <c r="F151">
        <v>1</v>
      </c>
    </row>
    <row r="152" spans="2:6" x14ac:dyDescent="0.2">
      <c r="B152" s="1">
        <v>43460</v>
      </c>
      <c r="C152" s="1"/>
      <c r="D152">
        <v>5</v>
      </c>
      <c r="F152">
        <v>1</v>
      </c>
    </row>
    <row r="153" spans="2:6" x14ac:dyDescent="0.2">
      <c r="B153" s="1"/>
      <c r="C153" s="1"/>
    </row>
    <row r="154" spans="2:6" x14ac:dyDescent="0.2">
      <c r="B154" s="1"/>
      <c r="C154" s="1"/>
    </row>
    <row r="155" spans="2:6" x14ac:dyDescent="0.2">
      <c r="B155" s="1"/>
      <c r="C155" s="1"/>
    </row>
    <row r="156" spans="2:6" x14ac:dyDescent="0.2">
      <c r="B156" s="1"/>
      <c r="C156" s="1"/>
    </row>
    <row r="157" spans="2:6" x14ac:dyDescent="0.2">
      <c r="B157" s="1"/>
      <c r="C157" s="1"/>
    </row>
    <row r="158" spans="2:6" x14ac:dyDescent="0.2">
      <c r="B158" s="1"/>
      <c r="C158" s="1"/>
    </row>
    <row r="159" spans="2:6" x14ac:dyDescent="0.2">
      <c r="B159" s="1"/>
      <c r="C159" s="1"/>
    </row>
    <row r="160" spans="2:6" x14ac:dyDescent="0.2">
      <c r="B160" s="1"/>
      <c r="C160" s="1"/>
    </row>
    <row r="161" spans="2:3" x14ac:dyDescent="0.2">
      <c r="B161" s="1"/>
      <c r="C161" s="1"/>
    </row>
    <row r="162" spans="2:3" x14ac:dyDescent="0.2">
      <c r="B162" s="1"/>
      <c r="C162" s="1"/>
    </row>
    <row r="163" spans="2:3" x14ac:dyDescent="0.2">
      <c r="B163" s="1"/>
      <c r="C163" s="1"/>
    </row>
    <row r="164" spans="2:3" x14ac:dyDescent="0.2">
      <c r="B164" s="1"/>
      <c r="C164" s="1"/>
    </row>
    <row r="165" spans="2:3" x14ac:dyDescent="0.2">
      <c r="B165" s="1"/>
      <c r="C165" s="1"/>
    </row>
    <row r="166" spans="2:3" x14ac:dyDescent="0.2">
      <c r="B166" s="1"/>
      <c r="C166" s="1"/>
    </row>
    <row r="167" spans="2:3" x14ac:dyDescent="0.2">
      <c r="B167" s="1"/>
      <c r="C167" s="1"/>
    </row>
    <row r="168" spans="2:3" x14ac:dyDescent="0.2">
      <c r="B168" s="1"/>
      <c r="C168" s="1"/>
    </row>
    <row r="169" spans="2:3" x14ac:dyDescent="0.2">
      <c r="B169" s="1"/>
      <c r="C169" s="1"/>
    </row>
    <row r="170" spans="2:3" x14ac:dyDescent="0.2">
      <c r="B170" s="1"/>
      <c r="C170" s="1"/>
    </row>
    <row r="171" spans="2:3" x14ac:dyDescent="0.2">
      <c r="B171" s="1"/>
      <c r="C171" s="1"/>
    </row>
    <row r="172" spans="2:3" x14ac:dyDescent="0.2">
      <c r="B172" s="1"/>
      <c r="C172" s="1"/>
    </row>
    <row r="173" spans="2:3" x14ac:dyDescent="0.2">
      <c r="B173" s="1"/>
      <c r="C173" s="1"/>
    </row>
    <row r="174" spans="2:3" x14ac:dyDescent="0.2">
      <c r="B174" s="1"/>
      <c r="C174" s="1"/>
    </row>
    <row r="175" spans="2:3" x14ac:dyDescent="0.2">
      <c r="B175" s="1"/>
      <c r="C175" s="1"/>
    </row>
    <row r="176" spans="2:3" x14ac:dyDescent="0.2">
      <c r="B176" s="1"/>
      <c r="C176" s="1"/>
    </row>
    <row r="177" spans="2:3" x14ac:dyDescent="0.2">
      <c r="B177" s="1"/>
      <c r="C177" s="1"/>
    </row>
    <row r="178" spans="2:3" x14ac:dyDescent="0.2">
      <c r="B178" s="1"/>
      <c r="C178" s="1"/>
    </row>
    <row r="179" spans="2:3" x14ac:dyDescent="0.2">
      <c r="B179" s="1"/>
      <c r="C179" s="1"/>
    </row>
    <row r="180" spans="2:3" x14ac:dyDescent="0.2">
      <c r="B180" s="1"/>
      <c r="C180" s="1"/>
    </row>
    <row r="181" spans="2:3" x14ac:dyDescent="0.2">
      <c r="B181" s="1"/>
      <c r="C181" s="1"/>
    </row>
    <row r="182" spans="2:3" x14ac:dyDescent="0.2">
      <c r="B182" s="1"/>
      <c r="C182" s="1"/>
    </row>
    <row r="183" spans="2:3" x14ac:dyDescent="0.2">
      <c r="B183" s="1"/>
      <c r="C183" s="1"/>
    </row>
    <row r="184" spans="2:3" x14ac:dyDescent="0.2">
      <c r="B184" s="1"/>
      <c r="C184" s="1"/>
    </row>
    <row r="185" spans="2:3" x14ac:dyDescent="0.2">
      <c r="B185" s="1"/>
      <c r="C185" s="1"/>
    </row>
    <row r="186" spans="2:3" x14ac:dyDescent="0.2">
      <c r="B186" s="1"/>
      <c r="C186" s="1"/>
    </row>
    <row r="187" spans="2:3" x14ac:dyDescent="0.2">
      <c r="B187" s="1"/>
      <c r="C187" s="1"/>
    </row>
    <row r="188" spans="2:3" x14ac:dyDescent="0.2">
      <c r="B188" s="1"/>
      <c r="C188" s="1"/>
    </row>
    <row r="189" spans="2:3" x14ac:dyDescent="0.2">
      <c r="B189" s="1"/>
      <c r="C189" s="1"/>
    </row>
    <row r="190" spans="2:3" x14ac:dyDescent="0.2">
      <c r="B190" s="1"/>
      <c r="C190" s="1"/>
    </row>
    <row r="191" spans="2:3" x14ac:dyDescent="0.2">
      <c r="B191" s="1"/>
      <c r="C191" s="1"/>
    </row>
    <row r="192" spans="2:3" x14ac:dyDescent="0.2">
      <c r="B192" s="1"/>
      <c r="C192" s="1"/>
    </row>
    <row r="193" spans="2:3" x14ac:dyDescent="0.2">
      <c r="B193" s="1"/>
      <c r="C193" s="1"/>
    </row>
    <row r="194" spans="2:3" x14ac:dyDescent="0.2">
      <c r="B194" s="1"/>
      <c r="C194" s="1"/>
    </row>
    <row r="195" spans="2:3" x14ac:dyDescent="0.2">
      <c r="B195" s="1"/>
      <c r="C195" s="1"/>
    </row>
    <row r="196" spans="2:3" x14ac:dyDescent="0.2">
      <c r="B196" s="1"/>
      <c r="C196" s="1"/>
    </row>
    <row r="197" spans="2:3" x14ac:dyDescent="0.2">
      <c r="B197" s="1"/>
      <c r="C197" s="1"/>
    </row>
    <row r="198" spans="2:3" x14ac:dyDescent="0.2">
      <c r="B198" s="1"/>
      <c r="C198" s="1"/>
    </row>
    <row r="199" spans="2:3" x14ac:dyDescent="0.2">
      <c r="B199" s="1"/>
      <c r="C199" s="1"/>
    </row>
    <row r="200" spans="2:3" x14ac:dyDescent="0.2">
      <c r="B200" s="1"/>
      <c r="C200" s="1"/>
    </row>
    <row r="201" spans="2:3" x14ac:dyDescent="0.2">
      <c r="B201" s="1"/>
      <c r="C201" s="1"/>
    </row>
    <row r="202" spans="2:3" x14ac:dyDescent="0.2">
      <c r="B202" s="1"/>
      <c r="C202" s="1"/>
    </row>
    <row r="203" spans="2:3" x14ac:dyDescent="0.2">
      <c r="B203" s="1"/>
      <c r="C203" s="1"/>
    </row>
    <row r="204" spans="2:3" x14ac:dyDescent="0.2">
      <c r="B204" s="1"/>
      <c r="C204" s="1"/>
    </row>
    <row r="205" spans="2:3" x14ac:dyDescent="0.2">
      <c r="B205" s="1"/>
      <c r="C205" s="1"/>
    </row>
    <row r="206" spans="2:3" x14ac:dyDescent="0.2">
      <c r="B206" s="1"/>
      <c r="C206" s="1"/>
    </row>
    <row r="207" spans="2:3" x14ac:dyDescent="0.2">
      <c r="B207" s="1"/>
      <c r="C207" s="1"/>
    </row>
    <row r="208" spans="2:3" x14ac:dyDescent="0.2">
      <c r="B208" s="1"/>
      <c r="C208" s="1"/>
    </row>
    <row r="209" spans="2:3" x14ac:dyDescent="0.2">
      <c r="B209" s="1"/>
      <c r="C209" s="1"/>
    </row>
    <row r="210" spans="2:3" x14ac:dyDescent="0.2">
      <c r="B210" s="1"/>
      <c r="C210" s="1"/>
    </row>
    <row r="211" spans="2:3" x14ac:dyDescent="0.2">
      <c r="B211" s="1"/>
      <c r="C211" s="1"/>
    </row>
    <row r="212" spans="2:3" x14ac:dyDescent="0.2">
      <c r="B212" s="1"/>
      <c r="C212" s="1"/>
    </row>
    <row r="213" spans="2:3" x14ac:dyDescent="0.2">
      <c r="B213" s="1"/>
      <c r="C213" s="1"/>
    </row>
    <row r="214" spans="2:3" x14ac:dyDescent="0.2">
      <c r="B214" s="1"/>
      <c r="C214" s="1"/>
    </row>
    <row r="215" spans="2:3" x14ac:dyDescent="0.2">
      <c r="B215" s="1"/>
      <c r="C215" s="1"/>
    </row>
    <row r="216" spans="2:3" x14ac:dyDescent="0.2">
      <c r="B216" s="1"/>
      <c r="C21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DataLEK51</vt:lpstr>
      <vt:lpstr>DataLEK52</vt:lpstr>
      <vt:lpstr>DataLEK51 (2)</vt:lpstr>
      <vt:lpstr>DataLEK52 (2)</vt:lpstr>
    </vt:vector>
  </TitlesOfParts>
  <Company>Aarhus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Larsen</dc:creator>
  <cp:lastModifiedBy>Microsoft Office User</cp:lastModifiedBy>
  <dcterms:created xsi:type="dcterms:W3CDTF">2018-11-15T14:07:39Z</dcterms:created>
  <dcterms:modified xsi:type="dcterms:W3CDTF">2021-11-05T08:46:32Z</dcterms:modified>
</cp:coreProperties>
</file>