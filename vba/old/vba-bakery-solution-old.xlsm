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09"/>
  <workbookPr codeName="ThisWorkbook" defaultThemeVersion="124226"/>
  <mc:AlternateContent xmlns:mc="http://schemas.openxmlformats.org/markup-compatibility/2006">
    <mc:Choice Requires="x15">
      <x15ac:absPath xmlns:x15ac="http://schemas.microsoft.com/office/spreadsheetml/2010/11/ac" url="/Users/au15463/github/tfa/vba/"/>
    </mc:Choice>
  </mc:AlternateContent>
  <xr:revisionPtr revIDLastSave="0" documentId="13_ncr:1_{BB11DF77-3AD8-6048-80C3-6DED2A4C8E7D}" xr6:coauthVersionLast="47" xr6:coauthVersionMax="47" xr10:uidLastSave="{00000000-0000-0000-0000-000000000000}"/>
  <bookViews>
    <workbookView xWindow="0" yWindow="460" windowWidth="51200" windowHeight="28340" activeTab="1" xr2:uid="{00000000-000D-0000-FFFF-FFFF00000000}"/>
  </bookViews>
  <sheets>
    <sheet name="CB_DATA_" sheetId="2" state="veryHidden" r:id="rId1"/>
    <sheet name="determenistisk" sheetId="1" r:id="rId2"/>
    <sheet name="sim m excel (loopup fkt)" sheetId="3" r:id="rId3"/>
    <sheet name="sim m excel (if fkt)" sheetId="5" r:id="rId4"/>
    <sheet name="sim m excel (200 førsøg)" sheetId="6" r:id="rId5"/>
  </sheets>
  <definedNames>
    <definedName name="CB_Block_00000000000000000000000000000001" localSheetId="0" hidden="1">"'634903021323761994"</definedName>
    <definedName name="CBWorkbookPriority" localSheetId="0" hidden="1">-1015964942</definedName>
    <definedName name="CBx_1f2d18c3393d450abd803f8aafda0997" localSheetId="0" hidden="1">"'sim m CB'!$A$1"</definedName>
    <definedName name="CBx_c341f06104a644079822dc0b28955cb4" localSheetId="0" hidden="1">"'CB_DATA_'!$A$1"</definedName>
    <definedName name="CBx_Sheet_Guid" localSheetId="0" hidden="1">"'c341f061-04a6-4407-9822-dc0b28955cb4"</definedName>
    <definedName name="CBx_SheetRef" localSheetId="0" hidden="1">CB_DATA_!$A$14</definedName>
    <definedName name="CBx_StorageType" localSheetId="0" hidden="1">2</definedName>
  </definedNames>
  <calcPr calcId="191029"/>
</workbook>
</file>

<file path=xl/calcChain.xml><?xml version="1.0" encoding="utf-8"?>
<calcChain xmlns="http://schemas.openxmlformats.org/spreadsheetml/2006/main">
  <c r="B19" i="1" l="1"/>
  <c r="B18" i="1"/>
  <c r="B17" i="1"/>
  <c r="B16" i="1"/>
  <c r="B20" i="1" s="1"/>
  <c r="F30" i="6" l="1"/>
  <c r="F29" i="6"/>
  <c r="F28" i="6"/>
  <c r="F26" i="6"/>
  <c r="F30" i="5"/>
  <c r="E30" i="5" s="1"/>
  <c r="F29" i="5"/>
  <c r="E29" i="5" s="1"/>
  <c r="F28" i="5"/>
  <c r="E28" i="5" s="1"/>
  <c r="F26" i="5"/>
  <c r="E26" i="5" s="1"/>
  <c r="F30" i="3"/>
  <c r="F29" i="3"/>
  <c r="F28" i="3"/>
  <c r="F26" i="3"/>
  <c r="F10" i="3"/>
  <c r="B11" i="2"/>
  <c r="A11" i="2"/>
  <c r="B30" i="6" l="1"/>
  <c r="K18" i="6"/>
  <c r="K19" i="6" s="1"/>
  <c r="G18" i="6"/>
  <c r="G19" i="6" s="1"/>
  <c r="G20" i="6" s="1"/>
  <c r="G21" i="6" s="1"/>
  <c r="G22" i="6" s="1"/>
  <c r="C18" i="6"/>
  <c r="C19" i="6" s="1"/>
  <c r="F11" i="6"/>
  <c r="F10" i="6"/>
  <c r="B30" i="5"/>
  <c r="K18" i="5"/>
  <c r="K19" i="5" s="1"/>
  <c r="K20" i="5" s="1"/>
  <c r="K21" i="5" s="1"/>
  <c r="K22" i="5" s="1"/>
  <c r="G18" i="5"/>
  <c r="G19" i="5" s="1"/>
  <c r="G20" i="5" s="1"/>
  <c r="G21" i="5" s="1"/>
  <c r="G22" i="5" s="1"/>
  <c r="C18" i="5"/>
  <c r="C19" i="5" s="1"/>
  <c r="F10" i="5"/>
  <c r="F11" i="5" s="1"/>
  <c r="B30" i="3"/>
  <c r="F11" i="3"/>
  <c r="K18" i="3"/>
  <c r="K19" i="3" s="1"/>
  <c r="K20" i="3" s="1"/>
  <c r="K21" i="3" s="1"/>
  <c r="K22" i="3" s="1"/>
  <c r="G18" i="3"/>
  <c r="G19" i="3" s="1"/>
  <c r="G20" i="3" s="1"/>
  <c r="G21" i="3" s="1"/>
  <c r="G22" i="3" s="1"/>
  <c r="C18" i="3"/>
  <c r="C20" i="5" l="1"/>
  <c r="C21" i="5" s="1"/>
  <c r="C22" i="5" s="1"/>
  <c r="C20" i="3"/>
  <c r="C21" i="3" s="1"/>
  <c r="C22" i="3" s="1"/>
  <c r="C19" i="3"/>
  <c r="E30" i="3" s="1"/>
  <c r="B26" i="5"/>
  <c r="E26" i="6"/>
  <c r="B26" i="6" s="1"/>
  <c r="E29" i="6"/>
  <c r="E26" i="3"/>
  <c r="E29" i="3"/>
  <c r="E28" i="3"/>
  <c r="C20" i="6"/>
  <c r="C21" i="6" s="1"/>
  <c r="C22" i="6" s="1"/>
  <c r="K20" i="6"/>
  <c r="K21" i="6" s="1"/>
  <c r="K22" i="6" s="1"/>
  <c r="E28" i="6" l="1"/>
  <c r="E30" i="6"/>
  <c r="E27" i="5"/>
  <c r="B26" i="3"/>
  <c r="E27" i="6" l="1"/>
  <c r="E27" i="3"/>
  <c r="B27" i="6" l="1"/>
  <c r="B27" i="3"/>
  <c r="B29" i="3" l="1"/>
  <c r="B31" i="3"/>
  <c r="B31" i="6"/>
  <c r="B29" i="6"/>
  <c r="B28" i="6"/>
  <c r="B28" i="3"/>
  <c r="B32" i="3" l="1"/>
  <c r="B32" i="6"/>
  <c r="N4" i="6" s="1"/>
  <c r="K13" i="6" s="1"/>
  <c r="K9" i="6" l="1"/>
  <c r="K10" i="6"/>
  <c r="K11" i="6"/>
  <c r="K12" i="6"/>
  <c r="B27" i="5"/>
  <c r="B29" i="5" l="1"/>
  <c r="B31" i="5"/>
  <c r="B28" i="5"/>
  <c r="B32" i="5" l="1"/>
</calcChain>
</file>

<file path=xl/sharedStrings.xml><?xml version="1.0" encoding="utf-8"?>
<sst xmlns="http://schemas.openxmlformats.org/spreadsheetml/2006/main" count="163" uniqueCount="56">
  <si>
    <t>Efterspørgsel</t>
  </si>
  <si>
    <t>Mellem: 0,45</t>
  </si>
  <si>
    <t>Salgspris</t>
  </si>
  <si>
    <t>Indkøbspris</t>
  </si>
  <si>
    <t>Overskud</t>
  </si>
  <si>
    <t>Goodwill</t>
  </si>
  <si>
    <t>Fortjeneste</t>
  </si>
  <si>
    <t>Lav: 0,25</t>
  </si>
  <si>
    <t>Høj: 0,30</t>
  </si>
  <si>
    <t>Bageriet gerne vil maksimere: Omsætning ved salg til kunder + salg af overskydende brø_x001C_d - produktionsomkostninger - tab af goodwill.</t>
  </si>
  <si>
    <t>Prisstruktur</t>
  </si>
  <si>
    <t>Efterspørg</t>
  </si>
  <si>
    <t>Efterspørgsel givet efterspørgselsniveau</t>
  </si>
  <si>
    <t>Efterspørgselsniveau (lav svarer til 1, mellem svarer til 2 og høj svarer til 3)</t>
  </si>
  <si>
    <t>Niveau</t>
  </si>
  <si>
    <t>Beregning af fortjeneste</t>
  </si>
  <si>
    <t>Salg</t>
  </si>
  <si>
    <t>Salg overskyd</t>
  </si>
  <si>
    <t>Prod. omk.</t>
  </si>
  <si>
    <t>Mellem</t>
  </si>
  <si>
    <t>Genering af tilfældig efterspørgsel</t>
  </si>
  <si>
    <t>Efterspørgsel høj</t>
  </si>
  <si>
    <t>Efterspørgsel mellem</t>
  </si>
  <si>
    <t>Efterspørgsel lav</t>
  </si>
  <si>
    <t>min</t>
  </si>
  <si>
    <t>ss</t>
  </si>
  <si>
    <t>Antal brød</t>
  </si>
  <si>
    <t>Pierres bageri (determenistisk model)</t>
  </si>
  <si>
    <t>Pierres bageri (en kørsel ved brug af lookup)</t>
  </si>
  <si>
    <t>Pierres bageri (en kørsel ved brug af if)</t>
  </si>
  <si>
    <t>Pierres bageri (200 forsøg v.hj.a. datatable)</t>
  </si>
  <si>
    <t xml:space="preserve">Run </t>
  </si>
  <si>
    <t>Avg</t>
  </si>
  <si>
    <t>Std</t>
  </si>
  <si>
    <t>Min</t>
  </si>
  <si>
    <t>Max</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</si>
  <si>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</si>
  <si>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</si>
  <si>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</si>
  <si>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</si>
  <si>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</si>
  <si>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</si>
  <si>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</si>
  <si>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</si>
  <si>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</si>
  <si>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</si>
  <si>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</si>
  <si>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</si>
  <si>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c341f061-04a6-4407-9822-dc0b28955cb4</t>
  </si>
  <si>
    <t>CB_Block_0</t>
  </si>
  <si>
    <t>Decisioneering:7.0.0.0</t>
  </si>
  <si>
    <t>1f2d18c3-393d-450a-bd80-3f8aafda0997</t>
  </si>
  <si>
    <t>CB_Block_7.0.0.0:1</t>
  </si>
  <si>
    <t>㜸〱敤㕣㕢㙣ㅣ搷㜹摥㌳㝢攱捥㤲ㄴ㘹㔱㤶㉣挵ㄷ㈶㡥㘳㕢㔴ㄹ㔱戶攲㈸慤慡昲㘲㑡㡡㜵愱㐵㑡㡥搳㌴慢攱敥っ㌹搲捥㉣㍤㌳㑢㤱戶㔲ㄹ㐱㕦ㅡ愴つ敡愰㐰㤳㌸㤷收㔲㈰〸㤲愲て㜵㘳㌴㝤㈸㔰愰㐵攰〰㝤㐸ㅦち昴挱つ㡡昶愱㐵愱愲㉦㜹〸㤰㝥摦㍦㌳扢戳扢摣㈱扤戶㕢扡攰㤱昷昰捣戹捤㌹晦晤晣晦ㄹ㘷㔴㈶㤳昹㈵ㄲ晦㌲攵㔸戸㝦㜱搳て㑣㘷㜲戶㕥慢㤹㤵挰慥扢晥攴戴攷ㄹ㥢ㄷ㙣㍦挸愲㐳愱㙣愳摤捦㤷㝤晢㐵戳㔸㕥㌷㍤ㅦ㥤昲㤹㑣戱愸㙢㘸攷㈴晣㡤挶て㍡㐷つ攵㤰㉤捤捥㕣㕥扥㠱㔹ㄷ㠳扡㘷ㅥㅢ扦ㄶ㡥㍤㍤㌵㌵㌹㌵㜹攲搴㠹㡦㑣ㅥ㍦㌶㍥摢愸〵つ捦㍣敤㥡㡤挰㌳㙡挷挶ㄷㅡ换㌵扢昲㡣戹戹㔴扦㘹扡愷捤攵攳㑦㉣ㅢ㑦㝥㜴敡挹㤳㈷慤㔳愷㍥㍡㠴㔷㘷㉥捤捥㉣㜸愶攵扦㐳㜳收戹攴㈷攷捣㡡捤扤㤹愶㘷扢㉢㤳戳㌳昸㉦戱㝥㍣㍤㌵戹戸㙡㥡〱㕦㙤㝡愶㕢㌱㝤ㅤ〳〷㥤㘹摦㙦㌸㙢〴㥥敥捣㘳慢ㄵ挳て昲捥慣㔹慢改㑥㍣㙢搱戹っ搸搵㡣捤㈱㘷搱㜴㝤㍢戰搷敤㘰戳攰㉣㘱愲敡戰㜳搵㌷慦ㄸ敥㡡㜹挹㜰捣扣㜳戶㘱㔷㜳㘱捡㘴ㅦ㡤愷㐸㉥㑣戶㍦㌹敤㍢戳慢㠶㈷㉢昲〹㤸㤴扥昳㕥愵扤敦挳扤攷攵搲攵つ㥣昳㤱摥晤搰㜲捤昰㥡㍤㈷㝡昷㡣㌶摦扥㠲て昷敥㥦㠰㔱晢㤸挷㝢㡦ㄱ㔰戶昷㔶㠳ㄱ㝤ぢ㐴戱ㄹ扤挰㙣㠰㔹㤱ㄹㄱ愸㤷㤸つ㌲ㅢ㐲愶㜲晦つ㉥㐹づ㘴㤳㔶㌶戴昲戲㔶慥㘸攵慡㔶㌶戵戲愵㤵㔷戴昲慡㔶戶戵昲つ慤㝣ㄳ㝤攲㔴ㅣㄸ搰愲昴㘳晤ぢ戹晦㥡晢慢昹搷㡦扥晥挰㥦㝦㝢戹㌶戴て㥤㥥㡤ㄶ㌵攷ㄹ户㐰㙡㉤㉡㍥㌱㜹㥣晦戶攷ち㌰㠵㜵搲㝡捡㥡㥡慡㥥㍣㙥㍣㘱攴戹慤ㄴ攴户ㄱ捡㈸晡づ㔹捦搹㙥戵㝥㑢㜰㜷晦㡣攱㥢㉤挰㑤㐴㙤㌳昵㠶㕢昵摦户㜵攳㘲㘰〴收㤱捥戶搶㈴㕤挳ㄶ挱㔶愶㉦敦㝢戰㜳搸㌵愳搶㌰愷㌷散戰昹㠱㡥㘶㘷挱慢㉦昷㙥㥤昷捣ㄷ㥡慤㕤㉢㥡㠶㔰㕢㤷戹扢㜶ㄹ㌶㠵敢ㅡ㥦㕤慤晢愶㉢换㥢㜰ㄶ散捡㑤搳㕢㌴㈹ㄲ捤慡㙣昵㕥㌶㐵㕣㍦㜱搹挵㐶挱慤搵て㈴㙢慤愷㌷〲㌰戳㔹挵㝡搷㑣㉦搸㕣㌲㤶㙢收挱戶㉥攱㍢搱㜰戸慤㝡扥㕥㘹昸戳㜵㌷昰敡戵昶㤶改敡扡〱㐹㔳扤㔸慦㥡戹㕣㐶㠴〲〴㙥㌶慢㔴收㘸㙦㕥㄰㐴㈴㔰㑣㐶扥慦㥤散㈶慦㘰㜷搸㐵捤㈴㑤㙡ㅦ摣㘶㌲慥㔷㘴㑣ち〷㈶昶㐴晤挱㤷㍥戶捤戴㑤捣扤扢㥤㌵㙤㉣摡晤搳敢愶ㅢ㥣㌳摣㙡捤昴㔲戵㥦攲㡡昴ㄱ㘴昹扢㄰〸㍤愱㐷㔵愷㌶搴㘶晥㤶㕤つ㔶ぢ慢愶扤戲ㅡ愰づㅡ戲㔸㈴㘸扢㤲㝥て慡昴晤捣挶㤰㤵㑡㤹挲〱㜶㉡㤴㤰㌲㜹㑡愷ㄴ㕥㙥ㄳ攴ㅣ搷挶换㐳搶扣㕤ぢ捣㔰㈸㡦㔸挰㐸愸搵〴㝤挳㈴㔱捦愸㠴ち攳㠰㌵ぢ㉡㌵㙣㌷搸㙣昱㙤ㄷ㤷㠴㐴戴㈷ぢ㜶㥤㉣愰㈸㘸㤷〷㈹扣〶愲改㤰〶改㥤ㄳ㐴㐴㌶㐸搱散㤸戹㥤挸搸㍦㐵㐶愰㝦㤲〸搹晢㜸㙦ㄹ㐱㘲敦㈶㔲づ敡挹㡦㝢搲㙣㉢㕢㍥㤴㘶昷〲㜰晡㐱㘶㠷㤸摤挷散㌰㌲昵慦㤰㜰㤴㜲㈸户㈷晤㝤㜸搶敦㘷昶〰㌲挸㈷㥤㌲㈷ㄲ㔵戴愱㜶㘲㐷戲摦㌰散㘴㌱㡡㐳㔱㐴换戸㘹㘷づ㍢㠲攸挸敡摣ㅤ扡㌶㈷㍡昶㐳扤㘹㌳戹ㅤ㔲㘴㑡搷攴㕥户改㥡〴〴扢昶愹户ㅥ挲㔰㝤㥣搹晢㤱㤵昴て㌰㠷㜲愱挱扢㌳㡢㥥㈶攵㝢挲㉣ち㡤愱㍥ㄵ㝣㐴挸㍣〲愴〸戹慥攳换㥥つ㑤㜳㜰挲㝡捦摢搰挷㝡昳㜷㠴昴づ扤戹愷㜷攸㉦㝡㡢㔶昴挳㘰㉦昵㑦㍤㜵捣㈳㘸搶㍦挴散㔱㘴ㅤ㍡㠶愷敦户敡㈹㄰戳搸㐹㘰㙥㍦扤㉥㘲攵㉥㙤慥㤹愲㠱㠶慣㈵挳㕢㌱〳㜸㌰捥捦挱ㄶ慥㝢㥥㔹挳愱戶㉡ㄵ㍣扦ㅣ㙡慦昴攷扤扡挳晡㍤ㅢ搹㝦㑦㈸㠶㕣㑥换㘶㍡㙣攴ㄴ㕢㌳攱㜳㑡㔰づ㜵昰ㄳ扤㠵㐴㘲㔰㍢㜹㜱㕣晡昹㜲㑦㤲昴㈱㐹ㅥ〷㔸昵愳挸㈰㈵搴㍦昴㤴㈸挷搸敤㔷愴㕢扢挵㑡て㕦捡改愴挳㠷搸㈵㐷〶㐳㠷敤っ晣〷晥戰戳㘸㍢㑤㘱㌱攸㉣㤸㕥〵扥〵扢㘶㤶㐲户㉣㐵捤㥥慣㜸㡦挸㡡㙣戶敢㍣㥤攲㕦ㄳ㍡改㤰ㄲ愹摣㥥摡㤸㜲ㄶ㙦ㄱㄵ摤㤰ㄴ㉡㈹慥愱愶〴㈲攵戱敦㥥㠸改㐳挴㝣ㄸ㠰搳㡦㌳㥢㘲㜶〲㔹晥㈷㤰㌴㍢〵㍣挳㘱〳敢㜴㘹㤷换㤹㈲搱㈰㉥挲㌷㝡ち慢㤳㝣捤㐷㤸㍤㠵慣挳晣愱〳㌲㠵㄰〵攵〹㐲㤴㌰㠶㜵捤㌶㙦㤱〶昶㔹〸㉣捤㌶晣愰敥㌰戲㌴㙣捤搵㉦搵㠳㌹摢㕦㐳㈴㙡捣㡡ち捦慤㥡㉥愸换㠳敤搳㔱㔷㕦㕢㌳慢扡戵㔸㙦㐰戴㥤㥦摢つ〷㜳㠰〳戶愴㥣捤㌵㠵搴摦昹ㄸ㔳㈸㐰㕡晣慤昴挶敥挸晢捤㐳摦㐸ぢ愲㑢㜶㔰㌳〷慤㤰改㔸㉥㕡㠰㈲㈲〷搵〱㙢㘹搵㌳捤戹㘱敢慣㘷㔷㙢戶㙢ㄲㄹ戰㌱ㄹ慣扢㘰慥㈰㑡戰㔰㘷っ戰敥づ㕢㑢㥥攱晡㙢〶〳㡡㥢晢摢㥥㈴㉣㤲户㘶㙣搷挷㙢〴㡢㉣㡦㔸㡢慢昵㕢㠸搸㌶ㅣ昷慣戱收敦ち慣㤰攸挳㈴愸㔱㥡搲㌴㔵搴㡡晤攲㠷〷昲㑣㠶扣㤷㘳㈶戸捡攴改㌳㑦搱摥戴敢愳ㄸつ敤㜴慥㘹〸搱愳㘶㘵㌶㔵ち㤳㔳昵㔳ㅣ昳㌱㘴ㅦ㍦㝢昵㝣㉢㌲昷戶㘲搶㜹㝡昹㔳㘴扣㤰㐵㌳㄰㐲ㅦ摤扥㤰㔴㔸㐷捡〱〷〲攳㝣敡㈴扦㤲㈵㝤㐸㝤晢㕡挵㜹㐴㤲㠶慣ぢ挶戲㔹㐳㍣摡㌱㠲㝤攱〳捤㔸挷愸昹㔱摢㙣摤㜱っ㤲ㄶ挹㜲戱㘲㤰㠲愷ㅢ㐱晤愲敤敡ㄶ㌲愱扦愸捡搸㐰㤵戱㈱㔵㐳搶ㄵ㠶〶愵捣戹敡㉢㠶㘷〷慢㡥㕤㈹昲㠱攱扢㕤㐱㤳㘰㜲㑡摥㌸挵㌲㘳扣挳㥡扦ち㤳捤㥦〴扡㈷㈱㐷〹㍡愲ㅦ㤴慢愹〲晥愹㍥ㅤ㑢㄰㌰攲㈹搵㝦つ戳攵攵㜶〴㐴㡥愴扢昱ㅤ㡣扢㜷㔰ㄳち㈱㘲㍤㠵㐴攰ㄵ㑣〸㜹扡戸ぢ搶㔵搷づ㠰㍤㘲㙣摥づ收㝣愰ㅣㄹ㡡㜲扣㍤㈲㔸㑤っ㥡㘸㙡㠵㠷扡㥢摡搴挴㠳摤敤㐹扤昱挱㉤㥡㐳㡤㤲㔰㈴摢㜵ㄲ捤戲挵ㅡ㜷㤳慡㔱愲戸㘳㙤愳搲摣愶㉤戸㔳㡡扣つ挵㈴㌴㤳搱㝦㕤〸〵㠱摥㐸㐷搱㘷㥦㑥ㅥ㠹㠸つ㙤㠰ㄲ昵㔴㔸㌷ㅣ㠵〴捦攳摡㐹搵㉣㐵㑦攰敦㝤㔱昱㜲㈳㘸㙢㌱㌶挶愲㤶改㕡敤戲ぢ㉢愱㘲㜸搵㕤挲搲搸㕢愸㘱㠴㍢晢搵晥㈱㜸ㄳ㡣ㄸ戱㈱挳㈲㈹㝥㘰戰㈱㤸㉢ㄱ㔱愵㜵㌶㑣㔰㌷慢㡢㝣扡㘸ㅡ慥㘰㘰㌱愸捥㤹敢㘲㠶戵㉣昹㌱ㄹ搰㍣㉤㡡ㅣ搵慤改㘵ㅦ㉡㍤愰ㅣ㡦㑡挲攰扡㜵㠵㙥㈹㕣㘲㠰搸㡤㑡ぢ㤵〰愱摤收〴㍣ㄹ散ㅥ散〰㈲㘱攸㠴搶ㄹ㈵㘸㈱㠵㜰摢㌷㐱摥改ㄳ愳㄰愴㤶愴晦㍣愳扥晣㈵愶敦㥥挹挴㠵㠸㠹ㄸ敥㑡戱ㅥ㠰摣㘴㘴㤲㕣㌴ㄶ〷捣㐳挹㈶㐲㙢㈸慥愳㠹㌱㑣㤳捦ぢ㜰㡢㠷戱慣ㄱ戲㑤つ昷摣〲ㅢ摡戴戶戹捦㍡敦㔶㙡㡤慡㈹慡㌸㤶搵愲㤱㜷〵扥攴ち㘰挸㑤㈹㜰㠹㠰㜲ㅥ㐷㈹㙥㤹㐸敡摦敥搶捦㘰戸〸㌹捣ㄱ慡㍥〶㈰㔳摣㜲ㄲ㄰敢扡愷㐰晢㜰㝦敢〲㠳㕣㥥㠳㐸敢慡愲㉣扢㠰晢㜸捤㈸戲㜰㕢愲摢㠵晡㠵㍡㙤昶㐴搵㌹㍢慣摡ㄵ㌸挲㍥㐳㠱㔷㈸挰ㄸ改㤳㍢㌸㐹收㙥ㄴ摤扤㝢㐷ㅥ㌳㜷㠱ち挱㠰㘲㡣㤷愷愰っ愰ち㐶愲挱慤戵慣㙥挵攸㉦㉤㙦㝤ㅡ㤹㘲ㄸ㤸〶㉤㝡㠶〶捥㉣捡摢ㅢ㌸て愱㔷㑡㠴㌴ㄹ㑣㘵㡣㜲っづ㝢㈰つ摣挴㠳昴㔲ㅤ㑡㈸㌸㈰ㄷ挳攲扢㠹ㄳづ㡥㐰㜵敦㘰㐷攵㠲ㄱ攰晡㡢㝢戸愳㝡扡㕡愵戹ぢ晦摣慥挰㉡慥㙥㠴收攸㠱㡥㑢㔹戲㈷摡㜷て㜷㌴㐴㤷〵㑦捣㑤㥥㌳㠲捡敡㘲戰ㄹ㕥摣敡㤳㈴㔴晥㐷昰㐷㙣昹㜶摡捣㌹㤷ㄷ㔱搷〹晢搲㑤户㝥换㤵㜵攵㝤摥晡〳㠵攰ち攵〰ㄷ㔹捡晣ㄲ晦㈴㘹㤹晣㕦㘲挶㥤㉣㥢ㄳ戴ㅣ㈴㥣㐷㔲㐹㥦挷㕦〶愹挷昱㌷㠵㔶㘰扦㌷㙦づ㤰㔶づ㜴搰㡡〸㠳㍤㘲㜱㔷摥㈹㘲挹愸搷㠱㕡ㄲ㑣㜸㉣〷捣晦〴散慦㝥㠸ㅡ㈲ㅤ捦㤱㈸挹扦ㅦ愵ㄴ搴㠹㌰㡦慥㜹昰㔲挸晦ㅦ㉣挵ㅣ扤㈵㑢晤㙦㌰昴㕦㜴愲攸㐱愲攸戵㉥ㄴ㈹㕥〵ㄱㅥ㝥㈶㉡昰㈱捦㄰敤㕢ち㠶㜳㑦㝢㠷搰㜷晤搲敦晦攱㈱昴㈲㌰捣㈴㜶ㅡ挲㙤㡦愰摣㌴ㄳ戲㕤㘶〲〳昸㘲㈶㕣攲ㄸ㐶昲㐳㌳㈱昲㠳㉣愰㘲㝢㌳㠱昱扤ㄴ㘳㌰ㄱ㙥㑤戸㌶㜸ち㍢攸搰㐷㜶づ㤷㙦㑤ㅦ㌱㝤㈸㉥㝦ㄶ㕥愹㐳摤搵ぢ㠶㘷㌸㠷愵晥慣㘷㐲愱㜹㑢戸捤㉤㐳㌸攲挸㤶㉤㌲㘸ぢ㝦㐵散㘹摦昳愹散散づ㍢㌰ㄵ愶搰㠵慦㡡慡昰㌶扣㈵㡡㘷㠷捣㑢〷㝥㜰昶㥦㕦晣㥤㌳扣戱ㄶ搱㙡晥㈸捡晤㠴敤㘹㑦㈰戰㥢戸㉣㜲㉦㍦捥戹㠸捦㤴散戵㥡㌹㘳㜸㘲〹昹扡ㄳㄷ㐳挲㑢㄰㘶㐸㝣扢挱捣挴摤㠷搰捣㥣散㜰㜹捡挷㑤攲㈶㥣㑣㉣㕣晣㝡㜱攸㔰昵㔴㘴㝤㕡㥣昹㍦㠵㉡㝡㡢ぢ㘹户ㄴ㜹昲㘴㔲敡〷㥤扡敥㈴㜵㕤㜸㤸㘱攸㍦㤶㔲㠸㐱㤰㐲㤲㠷ㄹ㕥ち㄰㈹戵㠸㐲㥥戱扥㤴攸㕡㘷㤸㤷㍥㠱㍤㈱㘰㌶㉦晥昵昹㈱ぢ愰〸㉣挶晥昸㝥㑦戵戴㐵㘳搵挴㜰慤搸㌴㑢㈸挸〱㠶ㄵ㔳㜱敤㔵ㄴ攲㤴攷挹㜶挷㉥㈹扥㘴搸〹㠳㙦㈱㘳攷ㅤ晡摢㑡捥搳㙥〳户㍦愰㘷ち愲㌰摣晤慣挶愱㔴攲㜴㘱搷㔲㔸挵㝣㈴㉣㌶〷つ㐶㑤搰㔹敥㘱㥣㑣ㄱ〰攴搷㐲㙣㥦㘸㑤㝤㙦㘷ぢ㜵㥣㍢㠰つ昲〷晢敢挱ㄴ挶挶㕢挹㌱㤰戰㍢敡㔵っ慦㠸㕦挳㄰戱昲㤵摥㉡昲㕤㑡㌱㑥ㅤ㜳㔶㔶敢搲晦㡣㘰ぢ㘷㍤挷摥っ㘵户改晦攷㔱戱慤晥㔷愷㌸ㄶ㍦晤㤳㔱㐱㡣㔳挶㔰戶つ摢㄰㈲昰㙥㈳㠰㈳㠷㘳㕤㡡っ㝢㠷愵㐵㝣挰ㅡ㌶㡢〴㠷敦㉢搷㜹㍤愲㌹㤶戶敤㘰㑦〱挸昸㔰晥㍢㄰㐱㍤挷户换㉤捥挶㔴昸ㄴ戲〳ㄷ敤㡡㔷昷敢㔶㌰扥㠸挰敦㌸扦㍦戳㘰昳㑣慢㙦㜵ち戵㠷〱㠹愱㑦㘳捣愵换㄰搸㤷捣攰㥤㡡㐷㌲扡戰戳㘸〶扦㐵ㅡ㑤㠴㤸愸ㅤ晣㝢慣㘷ㅢ㐶つ㥦慦㕥㠶扦㌳㘰搵慥㔰㜶愱搷戹昳㤶〶㐱㠷㝢㕡捦挰㈷㘴搶㈶ㄱ㈰㤳㉤晣收㙦ㄱ慥㥤㌰㘸敦ㅢ敤捤㘷捦晥晣㙥愵晣ㅦ〳愷㍢㝢㑢㍢挹昰㥤晣㉡戹愴㕦㘷づ㥦〸㥣㜵㘹捥敢づ㈷㉤㘷ㅢ〳㥤㐷ㅦ㜵搳ㄹ㌶㔱㠳ぢ㙤〷ㄱ㜰〳㐳搵㌴㌳晣昴攵愸挰〷㐵㑦ㅦ㔹㔱㝤ㄵ摢㈲〳愰㥣㈹㔴㤱昵愶敡慦㙣㐵搵㡡㥥ㅥ㤹ㅦ愴㥦愱摤挶摦㈸て愴攴㘲㝤〵搹㜰㔶昱〰㐲㕡㉤愹㍦挲㉣㠴㘵〸ㄳ㥢㜵㌸㤰挸㐱〳㘵晤〶戲㌸㈹ㅥ㌴㘴㤵㝦㠸〱捤㔵搶㔰摢㝢㤵㕦摣㜲㤵㌴ㄱ㘴㤵挹昹㐷㘳ㄵ愳搷搱慣慦㌱㝢㠱㤹㠷㙣㌴搶㌴㈳ㄴ㥥摣㑢㈱っ㐲扣㑥晣㈱晤㝤昴昷捤㌳㍦㜹㠳改㍦捥㈸ㄱ㤷㘸㙡摦〵挵愵散攲昳挹㕤㌴㔰摢㝢ㄷ㥦摢㙡ㄷ愳㤴愴〲搵㕢㈸〰慡搷昱㐷㜶戵㠱〲〱捡㥦㌲攲摡戶扤ㄲ晤㌲昶㐵ㄴ㠶戳愳㐴ㄷ晤㌶晡㑢捣㙥㌳晢っ戳摦㘶㜶㠷搹换挸㠶戵㍣㌱昸慢扤㤵ㄳ㙤捦昸㙢㕡㤰㙥摢㘷戳㑦攳㌳搸㑤つ攳戳昸扦〰攴㐵㤳收戴㡦昵㌷㔷㙣捤㔲ㄱ收敦〰㍣㙦㘳ㅥ挲慣攵戶攴㡣㐷昰㉢挲昰㈴㍤ち㐴㍦㡢㐲っ搱搱ㄸ㤰㜹搲㐹捡㔷㔲㘲㘴昲㐶㈹〱㕢〸扤摡㠵搰戴㈸㍡㤱㍢㝢㔷〸㔸散㡤㥦ㅤ昷搴㡢㠵㍥慦㑡愸捦挴㜴㝢敥㕣晣〹㥡ㄶ〵敦挰㌷愱㔹㑦㍥㈳㈰搵敤戸昳㥦扤搶昲㍤愳〱〹捣ㄵ㜶㈶㍦㑡攷㤷攲捥㈷昰㜹㥢昴挹㤰戲㤸摥㡣㍢㤳㙦愵昳㡢㜱攷㝦㍦㜱戸搹㌹㘶搳㜰收㍣㜹㈸攵挰㈰㐷愸挴愷敥㈳攸㥥户㘸㠴っ㕡㘱㌵㈹㔲㘲昰㌵㌱㐳㠶㜰慢挶挳挷收ㄷ㜰㐹っ㜷㘹愰愹挲晦攷挴㜹㕣ㅥ㥢㌳〲〳摦㤲慦㈳㙡敦改昲挴挱〵敢戲㠷㡡〱敢扣㡦㠳㘹㜵㔷㤱〸㙣慡㕣〸摦㙤愲ㅢ㈹昶㜷ぢㅥ㜱戴㔱攳㘵㥣晥㌴戰㐴愸㜲㙡㈳挶㙣收攵ㄶ捤攸扦ぢ攴㐰㡢㈰㘷㐱晦ㅣ昲㌰愲挵㙢摦㤹㔱㡡㐷㤱㝤㥦㘷挳敦㌱晢㝤㘴㈵㐵㔹㐸㍡㈸㝣〱搹㐸晣㝦晣ㄸ㕦ㄷ愷㤳愶搶攲㤷㈵挹㐸晦〳づ㜸〵㔹ㄶ㍥㜰ㄵㄱ㘱㐹晦㈲㙡ㄲ㉦㔵㤴慢㤴㥤敡㈶㘶戹㠳㥦㘸㍣㐵㐹㉢搵㌷愲㙡摡攱㈵㐵搹㉢搵㜶㔴㝤㔰慡㈹㡤愵㝡㌵慡㍥㈴搵㤴捦㔲扤ㄲ㔵㍦㈶搵㉦挷搵㔶㔴晤㌸慢㐷㈹换㘴晢㕦㐱㐱㝦㤵搹㔷搹㤰㈷搸㜶㡣㍦㐲户㑦㐳攴㙢ㄸ慡㠸ㄴㄱ慤㕦㡦ち㝣㔰挴㠸散攴㝡戴㘴㙡捡愲㔶㔰挴㤲㌴㤴愳㠶搳搲愰ㄴ㌱㈷つ㥦㡥ㅡ捥愰㐲晦ㄶ㌲㐵捣㜰㑦晡户昹㐴㠴挸ぢ扦ㄳㄵ攴㠵㠴㠱っ晦㘴挷ぢ〹ㄷ㘹㜸扥攳㠵㠴㤵㌴㝣㈲昹挲敦㜲㔲搹ㄸち㙤ち㝦㤴ㅢㄴ㜸㝦て㠵攱散〸搷昶ㅣ㝥摡㠶慡㕣慦㕥扦晥昳㤱摣昸㤱摣㈷㝥㘳攸㑢㙦晥昸㘷慦晣昴㔳愷晦敤ㄷ慦扥晡搳㝦㜹攵㡤㕦晣㘸昹昴摦㝥昳㥢㝦昳昱慦扦昱戳晤搶㌷戴搷㝥㝥攱ㅢ户愷㙥摥㝥挱扡㝡昴散敤攷㙦㍣㍢戵㜰捦㐴㌶㍢㌰昰攸搸摦摤昷搸攸换㉦晣㔰晤昵㍦ㅥ㜲㤵㙣ㄷ㉦㘸㕦〶户㉤换昸㍥ち㔸〶㔷晣慥㉥㠳摢ㄵ㐰㕤㠹〰㌵㠳ち㙡㔵㉥㐰ㅡ㥥㙤㙦ㄸ晣ㅦ搸㜹昲㜶</t>
  </si>
  <si>
    <t>㜸〱敤㕣㕤㙣ㅣ搷㜵摥ㄹ㜲㤷㍢㑢慥㐸㡢㤲㙣㈹㡥捤挴㜶晣㐳㤵ㄶ㘹换㡥㔲㉢㉡㝦㑣㠹㌶㈵搲㈲㈵搹戵㕢㙡戸㍢㈳㡥戴㌳㑢捦捣㔲㘲㘲搴㑥㥡愶㘹㤳㌴慤㔱〴㜰攲搶㝦㑦〱摡〲㝤㠸㘳㈷〱㤲〰〹搲ㄶづ搰㠷攴愱㐰ㅦ摣愰㘸ㅦ晡〳愱㝤挹㐳㠰昴晢捥㥤搹㥤㕤㜲㠷昴摡㙥改㠲㈳敦攱㥤㜳敦㥤戹昷㥥摦㝢捥ㅤ㘷戴㑣㈶昳㉢㕣晣换慢㥢㠵㥢ㄷ搶㠳搰㜲㐷㈶慢㤵㡡㔵ち㥤慡ㄷ㡣㡣晢扥戹㍥敢〴㘱ㄷㅡ攴㤶ㅣ搴〷搹愵挰昹㤴㤵㕦㕡戳晣〰㡤戲㤹㑣㍥㙦攸愸攷㐳昸ㅢ㠸㙦っ昶敡敢〶㔸㥣㥣㤸㕢扥㡣愷㉥㠴㔵摦㍡㍣㜴㕥昵㍤㍥㍡㍡㌲㍡㌲㜶㙣散㠱㤱㈳㠷㠷㈶㙢㤵戰收㕢挷㍤慢ㄶ晡㘶攵昰搰㝣㙤戹攲㤴ㅥ戵搶ㄷ慢㔷㉣敦戸戵㝣攴扥㘵昳晥㡦㡦摥㝦昴愸㝤散搸挷晢昰敡捣㤹挹㠹㜹摦戲㠳昷攸㤹㔹づ昹晥㈹慢攴㜰㙥㤶攵㍢摥愵㤱挹〹晣㤷ㄸ㍦敥ㅥㅣ㔹㔸戱慣㤰慦戶㝣换㉢㔹㠱㠱㡥扤敥㜸㄰搴摣㔵㉥㥥攱㑥㘳慡㈵㌳〸戳敥愴㔵愹ㄸ㙥晣搴扣㍢㠷戵慢㤸敢㝤敥㠲攵〵㑥攸慣㌹攱㝡捥㕤挴㠳捡㐵昷㕣㘰㥤㌵扤㑢搶ㄹ搳戵戲敥挹㥡㔳敥㔶㔷愶敢捥昸ㄱ挹㠱挹昴㐷挶〳㜷㜲挵昴㘵㐴〱ㄷ㈶愵敤戴㕦㙡㙥㝢㕢晢攷㜲攸昲〶㍥昳㡥昶敤㔰㜳摥昴敢㉤㠷摢户㡣㈶摦㍣㠲㝢摢户㑦慣㔱㜳㥦扢摢昷㤱愵㙣㙥慤昵㐶晣㉤㉢㡡挹ㄸ㌹㠲ㅥ㠲㍣〱〹㘸ㄴ〸㝡〹晡〰戴敥晦㠶㤴㈴㍢戲㑡㕦㌲昵愵㘵㝤愹愴㉦㤵昵㈵㑢㕦戲昵愵㑢晡搲㡡扥攴攸㑢㤷昵愵㉢㘸ㄳ㕦昹㥥ㅥ㍤扡㝥㜶昹ㅢ㘳戳ㄷ昷㑦㝥㜵晤搰换晦昵ㅦ㑢户昷敤㐱愳挷愲㐱㑤昹收㔵戰㕡㠳㡢挷㐶㡥昰摦搶㔲〱愱戰㡦摡て摡愳愳攵愳㐷捣晢捣㉣愷㤵㐲晣㈶㐶ㄹ㐰摢㍥晢㠲攳㤵慢㔷㠵㜶㌷㑦㤸㠱搵㔸戸攱愸㙥愲㕡昳捡挱㠷㌶慦㕣〸捤搰㍡搴㕡搷㜸挸㠶㙥ぢ㄰㉢㉢㤰昷摤搲摡敤扣㔹愹㔹攳搷ㅣ㔵晤攱㤶㙡㜷摥慦㉥户慦㥤昶慤愷敢戵ㅢ㐶㌴づ愵戶㈶捦摥㌰㑢㔵愵挶㌵㌴戹㔲つ㉣㑦㠶㌷散捥㍢愵㉢㤶扦㘰㔱㈵㕡㘵㤹敡㝥㔶㐵㔲㍦㍣攷㘱愲㤰搶昲㐷㤳㔸晢攱㙢㈱㠴搹㉡㘳扣慢㤶ㅦ慥㉦㥡换ㄵ敢㐰㔳ㄳ昵㑥㔴ㅣ㙣㐲㑦㔷㑢戵㘰戲敡㠵㝥戵搲㕣㌳㕥㕥㌳愱㘹捡愷慢㘵慢扢㍢㈳㑡〱ち户慢㑢搳㌲昷戴㤷〵㈱㐴㠲挴ㄴ攴㥢㥡搹㙥攴㉣㘶㠷㔹㔴㉣昲愴㝥晢ㄶて攳㜸㐵挷愴㐸㘰㘲㑥戴ㅦ㝣改㕤㕢㍣戶㑥戹昷户戱慥て㐶戳㝦㜸捤昲挲㔳愶㔷慥㔸㝥慡昵搳㌸㈲愳ㅦ㈰㝢ㅤち愱敤敡搱搴㘹搷戴昵散㔵愷ㅣ慥攴㔶㉣攷搲㑡〸ㅣ㉣㘴㍥捦愵摤㜰ㄹ㌷〰㘵散㈵ㄸ〴㈸ㄴ㌲戹㝤㙣㤴㉢攰捡㘴愹㥤㔲㘴戹㐹㤱戳㕦㤳㉣昷搹搳㑥㈵戴㤴㔲敥户㐱ㄱ㘵搵㠴㝣㐵戲愸㙦㤶㤴挱搸㘷㑦㠲㑢㑤挷ぢ搷ㅢ㜲扢㐱㑡ㄴㄳ敤敡㠲ㅤ愷ぢ愸ち㥡昵㐱㡡慣㠱㘹㕡戴㐱㝡攳〴ㄳ㔱っ㔲㉣㍢㥥摣捣㘴㙣㥦愲㈳搰㍥挹㠴㙣㝤愴扤㡥㈰戳㙦㘴㔲㜶㙡㉢㡦扢摡㙣㌳㕦㕥㘹戳晤㔸㌸攳〰挱㡤〴㌷ㄱㅣ〴搰晥〵ㅡ㡥㕡づ攵收换昸㄰敥㡤㥢〹㍥っ〰晤㘴㔰攷㐴慡㡡㍥搴㜶晣㐸戶㉢挲㑦ㄶ愷㔸愹㈲㝡挶㜵㍦戳攸ち愱㈳慦㜳㘷搸摡㙥戱戱ㅦ㙢捦㥢挹改㤰㈳㔳㥡㈶攷扡㐵搳攴㐲戰㘹㠷㜶敢㔶㜴㌵㠶〸㍥〲㔰㌰㍥㑡〸攳㐲㠷㜷㝢ㅥ㍤㕤捡て㠴㕢愴㥣愱づつ㝣挴挸摣〲愴㈸戹つ摢㤷㕤ㅦ㥡敥攰戰晤㠱昷愱て户㤷敦㠸攸㉤㜶㜳搷敥㌰㕥昴づ扤攸摢㈰㕥摡㍦戶戵㌱㜷愰摡昸ㄸ挱㥤〰㉤㌶㠶扢敦㜷ㅡ㈹㄰户搸㑤㔰㙥㉦愳㉥攲攵㉥慥慦㕡㘲㠱晡散㐵搳扦㘴㠵㠸㘰捣㑣挱ㄷ慥晡扥㔵挱愶戶㉣〸敥㕦㙥㙣㐶〶搳㝥搵㈵㝥搷㐷づ㍥㄰㠶愱扢㕢敦捡戴昸挸㈹扥㘶㈲收㤴攰ㅣ摡攰晢摡㉢㠹㐴愷㘶昶㘲扦昴晤攵慥㈶改㐰㤳摣㡤㘵㌵敥〱㠰㤶搰㝥搶㔶愳ㅣ㘶戳㕦㤳㘶捤ㅥ㉢㈳㝣㈹扢㤳㤶ㄸ攲〶㍤搲慢〲戶ㄳ㠸ㅦ〴㐵㜷挱㜱敢捡愲搷㥤户晣ㄲ㘲ぢ㑥挵㉡愸戰㉣㔵捤慥慥昸㠰攸㡡慥慥つ晢改㤴昸㥡昰㐹㡢㤶㐸㤵昶搴捡㤴扤㜸㠳愹ㄸ㠶愴㔲㐹〹つ搵㌵㄰㌹㡦㙤㜷㔵㑣〷㉡收㕥㉣㥣㜱㠴㘰㤴㘰っ㈰晢ㄳ㘸㥡敤㉥㍣搳㘱㍤㙢っ㘹㉦㉤㘵昲㈴㠳㠴〸摦㙡慢慣㡥昲㌵て㄰㍣〸搰攲晥㌰〰㤹挲㠸㐲昲〴㈳㑡ㅡ挳㍥敦㔸㔷挹〳㝢㙣㈴㤶㈶㙢㐱㔸㜵㤹㔹㉡摡㔳搵㌳搵㜰捡〹㔶㤱㠹ㅡ戴愳挲㠵ㄵ换〳㜷昹昰㝤㕡㜰搵搵㔵慢㙣搸ぢ搵ㅡ㔴摢捣搴㑥搸㤸㘳㌹攰㑢捡摥㕣搷㜰㜵戶㍦挶㈳㌴慣戴挴㕢ㄹ㡤摤㔶昴㥢㥢扥晥挶㡡㉥㍡㘱挵敡戵㤵搰戱㥣户戱㡡挸ㅣ㤴㝢散挵ㄵ摦戲愶㡡昶㐹摦㈹㔷ㅣ捦㈲㌱攰㘳㌲㔹㌷㙢㕤㐲㤶㘰扥捡ㅣ㘰搵㉢摡㡢扥改〵慢㈶ㄳ㡡敢㝢㥢敥㈴㉤㤲戵㈷ㅣ㉦挰㙢㠴㡡㉣昷摢ぢ㉢搵慢挸搸搶㕣敦愴戹ㅡ散〸慡㤰改搵㈵愴搱㜴㑤搷戵扣㥥敦㤴㍥摣㤰㘷㌲㤴扤㙥〲愱㔵㈶换㤸㜹㡡昵愶㕦ㅦ攵㘸攸愷㜳㑣㝤挸ㅥ搵㤱㕤愹㕡㤸㤲㙡ㅣ㘳㥦㑦〰㍣㜲昲摣㑣㈳㌳昷慥㜲搶㔹㐶昹㔳㜴扣戰㐵㍤ㄱ挲ㄸ摤ㅥ挵㉡挴㤱㜳㈰㠱愰㌸敦㕡搹慦㘰㑢ㅢ㜲摦㥥㐶㜱ㅡ㤹愴㍥㝢搶㕣戶㉡挸㐷扢㘶戸㐷摤搰㡤㜵捤㑡㄰搵㑤㔶㕤搷㈴㙢㤱㉤ㄷ㑡㈶㌹㜸扣ㄶ㔶㑦㍢㥥㘱〳〸晦㐵㈸昳ㅡ㔰收㌵㐱昵搹㘷㤹ㅡ㤴㌲㥦㔵扤㘴晡㑥戸攲㍡愵㍣㙦㤸扥摢ㄱ㍣〹㈱愷收㡤慦㔸㘷っ戵㜸昳攷攰戲〵㈳㈰昷〸昴㈸㤷㡥攴〷攷敡㕡づ晦戴づ〳㑢㔰㌰ㄲ㈹㌵ㅥ挲搳戲㜲㍡〲㉡㐷慥敢昱ㄹ㡣敢捦〲愳㤴㄰愹㥥挲㈲㠸ち㈶㤴㍣㐳摣㌹晢㥣攷㠴愰ㅥ㈹㌶敤㠴㔳〱㐸づ㠰愲㙣㙦て〹㔵ㄳ㥤㠶敢㔶攱搶㡤㔵㑤㘶攲㤶㡤昵㐹扢㜱晢㈶搵捡愲㈴っ挹㔶㡤挴戲㙣㌲挶㥤㘴㙡㌴㌱摣戱戵搱搲挲愶㡤㜵愷ㄶ㜹ㄷ㠶㐹㜸㈶㘳㝣㔲ㄸ〵㠹摥挸㐶㌱㘶㥦捥ㅥ㠹㡣つ㝤㠰〲敤㤴挲ㄵ愳㤴攰っ㡥㥤㤴慤㐲㜴〷昹摥ㄳㄵ攷㙡㘱㔳㡤㜹㙤㌰慡ㄹ慦㔴收㍣㜸〹㈵搳㉦敦㄰㤱挶摣㤴㠵ㄱ改散搴晡慢攵㑤〸㘲㈴㠶㑣㡢愴挴㠱㈱㠶㄰慥㐴㐶㤵摥㔹㤱㑢㕤㐷攷㜹㜷摡㌲㍤愱挰㐲㔸㥥戲搶挴つ㙢㜸昲㠳搲愱扥㕢ㄴ㍤㙡搸攳换〱㑣㝡㐸㍤ㅥ㤵㐴挰つ晢㉣挳㔲㌸挴〰戵ㅢ㤵收㑢㈱㔲扢昵〷㜰㘷戰㜳愸㠳ㄵ㔱愹ㄳ㝡㘷搴愰戹ㄴ挶㙤㥥〴㘵愷㐳㡡㐲㤱摡㜲晤攷〹敤㙢㉦昰晡挶㠹㑣㕣㠸㠴㠸改慥ㄴ敦〱挴㑤㘶㈶㈹㐵㠳㜱挲㕣㘹㌶㔱㕡㝤㌱㡥㉥㐶㤱㉥㥦ㅦ攲ㄴて㜳㔹晤ㄴ㥢ち捥戹㠵づ慣㘹㘵㝤㡦㍤攳㤵㉡戵戲㈵愶㌸搶搵㘲㤱㜷〴扤攴〸愰㤲愶㤴㜵㠹ㄶ㘵〶㕢㈹㑥㤹㐴敡摣敦㌶㑥愰扢㈸㌹㍣㐳㤹㍥㈶㈰㔳挲㜲㤲㄰摢㜰㑥㠱晥攱摥挶〱〶㌹㍣〷㤵戶〱㐵㕤㌶㡢昳㜸昵㉣戲㐸㕢愲搹㙣㜵戶㑡㥦㍤㠱㍡攵㈸搴㡥愰ㄱ收愹ㄴ㕥㉥〷㘷愴㐳改攰㐳㌲搷愳散敥昵㘷攵㌶㜳ㅤ愴㄰ち㘸捣昱㜲ㄷ㤴挱慡㐲㤰攸㜰敢つ慦㕢㘳昶㤷㥥户㌱づ愰㌱つ㑣㠷ㄶ㉤㤵㠳㌳㠹昲搶づ捥慤㘸㤵㤲㈱㑤㈶㔳㤹愳ㅣ㐴挰ㅥ㐴㠳㌴㜱㈳扤㔸㠵ㄱち昷挹挱戰昸㙣攲戰㡢㉤㔰搵㍦搰㠲㥣㌷㐳ㅣ㝦昱づ戶愰挷换㘵扡扢㠸捦敤〸慡攲攸㠶㜲㐷昷戵ㅣ捡㤲㌹搱扦扢慤愵㈲㍡㉣㌸㌶㌵㜲捡っ㑢㉢ぢ攱扡㍡戸搵㈹㑢㘴扦㡢㜸挴愶㙦愷捦摣敤昱㈰敡ㅡ搷扥㜰挵慢㕥昵㘴㕣搹㠰愷晥挰㈱㌸㐲搹挳㐱ㄶ㌲扦挲㍦戹昴㑣昶㍢㜸攲㜶㠶捤〷㌴〲㈴㝣㡥㕣〵㘳ㅡ㝦㤹愴ㅥ挲摦ㄴ㕥㠱晦㕥㍦㌹㐰㕥搹搷挲㉢愲っ㜶㤹挵扢昴㥥㌱㡢昶㈶㐸㑢㠶〱挱攳㐳㈲㝡㐶㝢〳㌷㈴㍡㘸〰挲ㄹ㌳㠴㈰摦㐷昰㌷㠵㝣愲搰愳愳ㅥ㍣ㄸ昲晦㠷㔲戱㔴㙦㉡㔶晦ぢ㐲慤扤づ㘲〸㤹㐰㤳扡㕣㙡摦㙣㈶搳慣㈲㤳挶㈳㈱㈲换愷愳〲㙦戲㑣搵扥愳愴㌸攷戵扢ㄹ㝤摦て晦晥ㅦ㙥㐶攷㐰㘱㕥攲慦㈱敤㜶〷捡㜵㜷愱㙢㠳扢挰㐴扥戸ぢ昳散挳㡣扥㜲ㄷ愲㜸挸㔹㈰戶㜶ㄷ㤸攷㑢㜱ちㄳ㘹搷㐴㠸㠳扢戱〳㉥㘳㘵愷㜰〸搷ち㤰摢㠷〱ぢ㈶ㄱ㥤扡㜱㈳㝡摥昴㑤昷愰攰㑦晡ㄶっ㥢扦㠸㔳摤搲㠵㍤づ㙤㕡㈳㥤㌶㠹㕢挴ㄱ昷摤搸捡昶捥戲㠳㔲敡㔲愱㝣㉤慦攵摥㐵搴㐴攳ㅥ㈲昳改㝤㝦㜵昲㥦㍥昵戹ㄳ㍣戹ㄶ昱㙡㤶愹攲㑥搲昷昴㉢㤰攰㑤ㅣㅡ搹捦㡦㜴㑥攳㜳㈵㘷戵㘲㑤㤸扥㜸㐴㠱攱挶㐵挵㜸〹挶㔴捣户ㄳ摣㑤㥣㠱㔰敥收㐸㑢攸㔳㍥㜲㤲㜰攱㐸㘲攰ㄲ摦㡢㔳㠸㕡㕢㘳搶愱攷㤹晤㑢㤸愳㜷㌸㤰㘶㡦㤱㍢㔰㕥㥡昶ㄷ戱扤㔳㠸㑣收㈸㉣㥡摡㔶㙡㍣〲㄰㙢㈹攴㈲挸㈱挹㑤つて〷㠸㤶㍡㠷㐲昶㕥㠰㤴㉣㕢㙢扡㤷戱㠱㕤㈵㘰搵て〰㜶昸㐱ぢ㔶ㄱ㔴㡣攳昲㥤敥㙥ㄹち㠸㑤ㄳ搳戶攲搳㥣㐷㐱㌶㌲㐴㡣挶搸ぢ㈸挴㔷㜶っ愵㙤㠷愶昸㤲愲慢㤲㜰㑡戰戳㉥攳㙥〵昷㘱慦㠶㔳㈰戰㌳㌹㌱ㄸ摥㕥愲戱㌹㤵㝣㥤㙡㕡㔰㈸挲㝥㔵慣㜷敡㡤慡㘰戳扣㠳搸愱㈲ㄱ挸慦㠶㔸㍦摣㜸昴晥搶ㅡ摡㌸慦〷ㄳ攴て晥搷㉤㈹㠲㡤户㔲㘲愰㘱户搵㉡慦㡥㡡㍦㡥㉥㥣㜴㐶㌳ㅡ㐵戹搷㤸慦㡥㈵慢㑢摦㘰晦㤹挹ㄶ挹㝡㠲扤㤹搲㙥戲晦㑦〲戱愵晤搷㡥戱㉦㝥挶㔳㔱㐱㥣㔳收㔲戶㑣摦㜰㐵㄰攵㐶㈲㐷㌶挹㠶ㄴ㤹晥㔶愵〵㝣挸慡慡㐵㠳㈳〶搶摤㝡㑣愲摥㤷扥㙤㙦㕢〵挸㍣㔱昶㌵愸愰戶晤㥢昵㔶扣搳捤晤㌶㍡敥㍢敤㤴晣㙡㔰戵挳愱〵㈴㠰㠷昸ㅤ㥡つ㥦㘷㕣㝢愵㔵愹摤㠶㤵攸扢㠸㍥㘷收愰戰捦㔸攱㝢㤵㤷㘴㤶㘱㝢㔹つ㝥㤳㌴㤰㐸㌵搱㍡〴㌷搸㡦搵捣ち㍥㘳㥤㐳摣㌳㈴㙡㐷ㄸ㍢ㄵ㝤㙥㍤慤挱愵挳㜹慤㐷ㄱㅢ戲㉡㈳㐸㤴挹ㄴ㥥晣㉤慥㙢敢ㅡ㌴户㡤收ㄶ戰㘵㘷昱户㐲昶㈵搰㜴㝢㙦㘹㘶ㄹ扥㤳㕦㈷ㄷ㡣㘵㐲㙣慥㑦攰敦昶㠳戵㝣摡㈰昸㍣晡戸㥢㐱戱攱ち㐲㘹摢挸㠴㤷搰㔵ㅢ㈷挰捦㈸㐷〵摥㘸㡣昸㔱ㄴ戵慦㘳㕡ㄴ〰㤴戱〷〴㘸捦搵㉦愰㤹㡡㈰戰㌱㉥㜲戵㌶㡤㠲㍣㝦〵〵晡㙤晣㘹っ㈴〸搶㐹㘲戹㙦ㄵ散攵〴㜶㠰㥢㔷㑡扣㜱〵愰搸愵㜱戳㐲扥㉥㘸㝦㡡㌷扥㠴㥦㕡㍦㤷㌸㙣㕥㘴㔳㠲戲攱〱挴㤷挶㑤㠹捣攸㑦搰愱㍥愳㔵㘰摢捦攸㉢㘸扡㜱㐶㜴㈷㘴㤴挹攷て挴收挸〸㔰㙤㠴〴㌵㠲㌵㠰㠱搸㉡昵㔳搱㜲㉥㌹㤵戸㜸㤳戴挶昵昷搱摦户㑦晣攴㉤㕥晦㝥㐲ㄳ搵㡡慡收㔹㔰戵捡㉣扥㤰㥣挵㍡戰敤㘷昱昹捤㘶㌱昰ㄴ晡挸慡㝥ㅡ〵慣㉡戹㑦㘶昵っち㕣㔰晥戴㔲㡣㙤㥡㉢㔹㐵晡晥づち挵慥〱㤲㤶㜱ㅥ攳㔹㠲攷〸㍥㐳昰㔹㠲摦㈵昸ㅣ㐰㔱ㅦ㈰戵愵攱敦ㄱ昹㜹㠲摦㈷昸〲挱ㅦ㄰晣㈱〰ㅡ㤲〱愴攱ㄷ㠹晣ㄲ挱㤷〹晥㠸攰㉢〴㝦っ㔰搴戳攴㠹㕦㙦㙦ㅡ改昹挶摦昴㈲换搱昴昱敥挳昸ㄸ㜷㕤㐷晦㉥晣扦〸戲㘲挷扢昵㑦㜴昶慣搸㤷愶ㄹ捥㔶戱攰敦攲㌹愴㐲㈳㜸捡㈷ㅥ挲㉦て㔹㈲㠷ぢ㡤㥥㐷㈱愶搱㐰㑣㥡㉣㌹㉦攵㕢㉤㜱㜱㜹慥㤵ぢ㥢㔳戱昵㥣㜲㙣昲㙥ㄴ㔴摦ㄱ敡ㅤ㜳攳挷捦㙤慤㜲慥挳〳ㅢ㥡ㅢ㑢挲愹㔳㔱㐸㌳愳㐷㈹㐴㐸愲捡㤴㔰㜲戹㤰㕡㈵㙥晣搷慦㌷㈲㙤愸挰〵㜱㔵㡤㈹攱搲昸㑡摣㜸っㅦ搹㐹ㅢ㍣㔹㕤㙦挷㡤愹〹愴昱攵戸昱扦㡤ㅤ慣㌷㡥〵㕦㍤㌹㑢愹㑣搹慥挸〶㉥昱挱㝤㍦㥡㘷㙤扡㐰扤戶㐲㤳㈳攵㈴㐰㐵㥣愰㍥㥣敤昱昱挹晢㉣㡥慡攱㐴て散愴晡㍦㕦捣攰〸摢㤴ㄹ㥡昸愲㝤つ㘷〷㝣㐳敥搸㌹㘷捦昹㐰昴搸㌳〱戶挵攵ㅤ挵㈲昰攸扡搵晡㙥㤱㘳㐹昱晥ㅢ敢ㄱ攷㍣㜵ㅥ〹敡捣晥㑢㥥慣㕢㕢㠹㈹㥢㜹慥挱㌳挶ぢ㈰づ散ㄲ㈰ぢ挶搷〰㔵㕥㡤㠷捦㌳〳㔴戸愲㑤㕦㘴挵㥦ㄱ晣㌹㐰㐱愳㜶㈵ㅦ攴㕥〲攸㡦晦扦㈳㐳㙢ㄲ昲搲戵㡢昱换㤲㙣㘴扣挲づ慦〲㜴㈱ち慦㐵㑣㔸㌰㕥〳㈶昱㔲㡤㥡㥡扡㔳㝢ㄲ㑦愱挲愲㍡㈹㘸捦挵攸摦㡣搰摣〵ㄴ戴捦挴攸㈷㈲昴〱㐱㝦㌶㐶㍦ㅥ愱㜹戸愲愰㔱攳换戳㉦㐴攸扢〴㑤ㅢ㈰攸昳ㄱ晡㙥㐱搳ㄴ〸晡㕣㠴㔶㈳愱㜱㄰昴㘲㠴㔶㈳愱戹㄰昴㐲㠴㔶㈳愱〱ㄱ昴搹〸慤㐶㐲㤳㈲攸挷㈲戴ㅡ〹㡤㡣愰攷㈳戴ㅡ挹ㄷ㘳昴㕣㠴㔶㈳愱昵㤱搶㘷㈲戴ㅡ〹敤㤱愰㑦㐷㘸㌵ㄲ㕡㈸㐱捦㐶㘸㌵ㄲ摡㉣㐱㍦ㅡ愱搵㐸㘸挵〴晤㐸㠴㤶㤱っ㔰扦ぢ㑢㝣ぢ〵攳つ㠲㌷〱ち㔹戲搲戶㜹㥡ㅣ搷愱㙢昸㙤㜴搵挸愸㝣㠶昱㥤愸挰ㅢ㡤㕣㉡㐳㥥㡡㠶晣㄰㄰㜹㍤愷㤱㜳愵㘲㌲慡㌸㉥ㄵ㥡㐶㙥㤶㡡㠹愸攲〴㄰挶昷〰戴㔷〰㌸㈷攳晢扣㝢㡤㠰㜷㍦㠸ち昲㐲慥㠱㜴晦㘴换ぢ戹㉥㔲㜱扣攵㠵㕣㉢愹㜸㈸昹挲ㅦ昱愱㌲㌱ㄴ㥡摣慡〱㑥㔰搶晢挷㈸ㄴ扢晡㌹戶ぢ昸改搷戴搲挵昲挵㡢扦攸敦ㅥ㍡搴晤昸㙦昴扤昰昶摦晤晣昹㥦㍥㜵晣㕦㝦昹攲㡢㍦晤攷攷摦晡攵㜷㤷㡦晦昸搵㔷㝦昸挸㑢㙦晤㝣慦晤戲晥晡㉦㘶㕦㝥㘶昴捡㌳㑦摢攷敥㌹昹捣ㄳ㤷ㅦㅢ㥤扦㘱戸慢慢愷攷捥挱扦戹改慥㠱攷㥥㝥㐳晢挱㍦摣攸㘹摦挷挳㘵愶戱昱挶㝤㘶㠰搳㤶㘱晣㉤ちㄸ〶㐷晣扥づ㠳搳㤵㠵㝡㈰㕡愸〹㈰攸㘹㜰〰㔲㜱戴戹愲昷㝦〰敦㔷㘱愱</t>
  </si>
  <si>
    <t>㜸〱敤㕣㝢㜴㕣㔵戹㥦㍤挹㥣捣㥥㈴捤昴㠱㤴㤷㐴㙣攵ㄱ㡣㐹㥡戴つ㔲摢㍣晡〸㤴戶㌴〵扣㑢戹攱㘴收㥣㘶攸㍣挲捣㐹㥢㈰㡡慥愵ぢ挱㈵㐸㔱敦挲换㐵ㄶて㥦㈸㡡㉦㐴㝣愲ぢ㐱㕣愲愰㔷扣㝡㡢㕣㤵慢㕥愱挸㔵昱㡡昶晥㝥摦㌹㘷收捣㤹挹戴搴扡散ㅦㅥ㥡㙦昶攳晢昶搹晢摢摦摥晢户扦扤てㄱㄵ㠹㐴づ攰攱㉦㥦㘶〶㑥ㅣ㥦㉢㌹㔶慥㝢愴㤰捤㕡㈹㈷㔳挸㤷扡㠷㡡㐵㜳㙥㜳愶攴㌴㠱挱㤸挸㈰扦ㄴ㥢㈸㘵㉥户攲ㄳ扢慤㘲〹㑣戱㐸㈴ㅥ搷㔱攴㈳㈴㝦㐹㍦愲㈹愵㥢㐹㤸愷つ㤲ㄶ㤰戶㌸挸㡥㤱攱慤㤳㤷攲㑤攳㑥愱㘸㥤搹㜹愱㕢摥㥡摥摥敥摥敥扥挱扥㤵摤㍤㘷㜶㡥捣㘴㥤㤹愲戵㈶㙦捤㌸㐵㌳㝢㘶攷戶㤹挹㙣㈶㜵慥㌵户愳戰换捡慦戱㈶㝢㔶㑣㥡晤慢㝢晢〷〶散挱挱搵㙤ㅡ㈵㙦ㄹㄹ摥㔶戴散搲㤱㉡㌳挱㌲户㡥っ㜷㙦戱㥣㈳㔵㘶㉢捡㐴㤱愳㠵㥣㤹挹ㅦ愱㐲㘳搴昷挰愸㤵捡戰㘳㉣慢㤸挹敦散㐶戵慢ㄴ㡤搸慡敥愱㔲㘹㈶㌷捤㍥ㅥ戱戲搹敤㤶捤づ搱戹搱㤲戳捤㉣收㑡㙤㌹敡捦㉡㕡昹㤴㔵㕡㤰㕢㍦㥢戲戲ㅥ㘳㈹㥥扢搰㉣㙥㌱㜳㔶㌳〳ㅤ㌹户て挷搲㔶摥挹㌸㜳敤戹ぢ㑡搶㜶㌳扦搳㈲㑢㉣户㜱㈶㤳㔶捤捤昸ㄷ㘹㍡戵㕥捤愴愳㔰㥦摣挸㤴㔹㜴㈴挶㉥散慤挷ㅢ㌰ㄷ㘹㐵㜵扤㈰搵ㄹ㤲㘲㥦㡤㘷㜲攷㕡挵扣㤵攵㑢搸㤳㕤㈱㈶㔱㤰摢て㘵㑤昹捤㘱㉦愹㔶㙦㘰戰㉤搴㤳搱㐶㌲㌲㔳㜲ち㌹摤㡥戰㕥挰㠴づ㤰挵敢㙤〷㘶㍣㝤晦㍤挵㥤㈵㉢摢㌹㜵晦㍤㤷敡㈴㔹ㄶ㠲愸收愷㌱攸㠲挵戱晣攸㠴ㄹ㥤㤸㡣㑥愴愲ㄳ改攸㠴ㄵ㥤戰愳ㄳ㍢愳ㄳ㔳搱㠹㑣㜴攲搲攸挴㉥昰昸㑦扣愵㈵敡㍤㙤摦㝥敥挹㜵㉢户㙣戹攵昵〷㝥㜱晣扥ㄳ㉦㔲ㅣ㘷㌲攰㔸㍤扤㠴攴ㄸ㄰攳㈵㈰挷㠴敡㤵㐳慦㕢㌹㝤㉣㤹㤶㠲㈸昵ㄴ㙡挶摡愵㝦㜲挳㥥㤳敦㝥敢㌹㥦扢改㔵㈷扦昷戴㉢㑦㔵ㅣ戹㤵㘲㑦愰挴㠹㈰挶㐹㈰㡢㐲挵㘶捤摤晡愵攴㌸ㄹ㐴愹㈷扣㌲挷㤶摥昸㠷㡦㙥㕣㍡晡愵㑤㙦昹晤㤷捣昷摤愲㌸ㄱ㔴捡㍣㠵ㄲ㉦〷㌱㤶㤱㙣挹散戶捣ㄹ扤㥣愹慦〰㔱敡㜱慦㥣㑦摦戱㍣昲㤶晦ㅥ㌸昷敥愶㘳㙦㕢昱搰㌵㥤㌱捥㈵㉢敡㜵㘷搸㔲㌶㘰㠶㐹㤹㈵挷㌳㘲㤹㠳㡥愸㡤ㅦ摣挴㌷ㄴ㔳㝦㝢ㄳ挷㑢㡥㠸㠹敢搳愸晤搳㐱㡣㌳㐰㕡愱㍦攷㔲㉢㙦㘱㠱搰㕤捣㍡ㄳ㐴愹㐷扤㡥挹扦散愱㐷晦昲㤹摣收户㍥晣昱挷ㅥ挹㑣慦㙥敢㐶昶昹摥戰ㄹ㉤㥡㝢㌰ㄱ㔵收戸扥敥ㅥ晥㜷昰挹ㅤ㜳扢㍤㘰慦戲㝢㝢搳〳㍤收ち㌳挶挱㜶愸戳〸㐷㕤㥢㝤㔱㈶㥦㉥散㤱㘹攵挴㘱戳㘴㔵扡愰换换ㅢ㉥捣攴搳愵ㄳ敡㘷㡥㍢愶㘳ㅤㅦ捥慢ㄴ㔲㈳㌶㡥㐹搷㉡挹晢㕥ㅡㄶ扢搰捣捥㔸㐳戳ㄹ㌷晢愴㔰㌶捣戱㌰㌹㝦敥㠶愲㜵㔹㌹户愶㐶㐳㔸慦㜷㑢搹㌵慤㜴戳摣㝡㜵㡥㑣ㄵ㑡㔶㕥慡搷㤵摢㤶㐹敤戲㡡攳ㄶ㔷㝢㉢㉤㑤㍤㠶㔹摥扣摦戵㌵㡦㠶㘲㈶㑦㥦ㄲ㑣戵搷捦㍡㔶㍥㙤愵㔱摦㘹慢攸捣敤㌰㈷戳搶㑢慡㔸摣㜷㈲攳戸慡攴つ㠵搴㑣㘹愴㤰㜷㡡㠵㙣㜵捥㔰㝡户㠹戵㈶㝤㕥㈱㙤㘱愹㘸收ㄳ㔱㤱愶㈶愵㈲㘷搴ㅢ攰㉣户搴㉤ㅤㄱ攸㘲慥ㅣ㑢慢捤慥㝢㍢㕡㠷㔶㘴㉤摡㘴㜴搹㐱ち㤳㜲㔹捣改昳㌳〶摡㐴㘸㐴敥搳收攷㤶㍡㤶㝢敥㙦换ㅣ㡤㉥昶㕡扦㝥㌷搶攳㑤㘶㍥㥤戵㡡つ㠱㥤㘲㡤昴慢㐰㘲㡦㘰㌴捦慢㍤慥㉥㙡㔶捤挵昶㘴搲捥㤴㌱㘵㘵㜶㑥㌹㐸〳昸㡢挷愹摡㥡㐷昷㈲㐹昷㤱慣〰㐹㈴㈲㐶㍦㤹㡣㠴ㅥ㜰攳㌱慥㥢㉦㝥愵㈷扣搴㠲㉣〰〳㑢戱ㅣ㈶愷㔲㔳㔳扤㔶㙥㌲㑢㔳づ捤戳㘱愶㘰㥦㤵㉣㜴ㄵ㐸㡣ㄳ挷㐱㠱〴ㄷ晢㘶攲愵昶摣愸㘵㥢㐰愹㌲扡㤵ㄹ换戹挰㘷搴㉡愵㌴ㄱ搲ㄸ挶捡慣㠱㄰〶㝦㕢㡥搶㙦捤㍡愳愶㘳戶攴㠰戵搰㑢ㅡ㑣㕤㈲攵㠶㈸搹㉥㘹扥㜴挲㡢愱㠴愴〴〳愵戴㑡㠲㕢ㄲ〶づ挶㑢愴挹愳㡤ㅢ㠱扡㜳愹㌰挲㠶㕥㡤㤹〰攵搲ㅢ慤晣㡥戹㘹慢㐴昶戸搱㔰㤵攱攱挵挲戶愶㈶㉦㜰㌲搹㔲㌷㙡扡戱㔸㤸㤹㍥㤲攵戰㉣扤ㅡ挴㝦㘲て挰㡡て扤㑤摣昸戴散㘶摦㑣㑣㐴攲㉣㡤㈹㥡摤慢㘹慤㈸散〰㝥攴搱㘷攳㈷搱㈸㉦㐶㤴昷㘲昰㈵挱㔵㕢づㅡ摡㔱戴〴㌱挷㈵〲㙤户攷㉥㉡ㄴ㜷㑤ㄶち扢㘸㑦ぢ㈴㔶㥡戲㉣㠷㈸戴搵㐳摤㠲慥㤵㙡㙡慡挲㤴〱戸㑡㝣㘹慣〳㘹ㅦ捡㘶㍢晤ㄲ㑢挶㄰㤲㥡㠰㠷㡤㘱〴ㄶ㑦㘷慣㘲搱㉡㑤㑣㥡㍢戱㝣㜵捦㘶㑢戳敡㡢㘸㌸昱攰晤㑢㕦㜹昲㥡挱挴晡㉦扥㜹敤㌵㜷晤㐸晦㡢扡捦换愸挱㥦㐴㥣㠲㠶搷㈳愰敥〵ㅢ㈷ㄴ㠴慢ㅦ扤ㄱ㜱扤㠹㘴っ〴搳㠲㈸ㅡ戳挲戹㙥㔴ㄱ戵㜲㘶搰㥢㐹捥〳㔱〴慡〲愳户㈰攰㍦敡㤳㈸㥦摤㉤㕤㐶㤸㕢摢㘵摢㤱㥡搰つ昲ㄴ攱㉦扢㑤慦㈳愱㘲㌴㤵愲㍥㠸㠲敢㉡攰〳㕥㐶つ㔲㈶㌶ㄶ〵扣㡥昲户㠳慤扥〲㉥收㍢晥㤹㘴〲㈴愰〰搳㡤㉡攲㙢㔱挰㈴㤹㔲㈰㡡愸㕡ㄴ㤰㐶挰㝦搴扦攲ㅤ㘵〵㄰㤰搷㉡㘰ち愹〹摤㈰㑦ㄱ慢搷㔳挰昵昳㈹攰㕤㕥㐶つ慣㍦〵㈵㠹〲㉥㐳㐰㕤㍢慦〲㑡挸搶㕣㍣昴っ㐸㐰〱㝢摣愸攲㘶㐰ㄴ㌰㑢愶㌹㄰挵敤㠰㈸攰㜲〴晣㐷扤㉤愸〰敥ㅥ㙡ㄵ昰㈶愴㈶㜴㠳㍣挵㑤㐶㍤〵扣㘱㍥〵㕣敥㘵搴散㐷㠸㥡ㅢ攰搳慡㉤〰㠷㑢ㄵ㍥㙤戳㌷㘴戲搸㍤ち〴改戰昱攳敥攳㈵摥㑥搸㔵㌴㔳敥づ㜹㠹㍤〲攴〵挷㠱㌳㈷昰㐲㔸㙡㤰㥦ぢ㡣晥㠱㙦㡦㍡㝣㉢攸戶ち攳㌶挰㡦㌰㥡㄰挲㙤捣ㅣ㌰㈲㐲扢扡慢㤱搸㑢㌷㑡慥㌶㌲昲㠷㤷㑥昱㡥㤴昹㠳㐶㐸敥㥥昹㜱㉦㡤扤搶㐸㈹㌴㉦挶散㐶收㍦㄰㝡搸昵敡㈲昴慢愰ㅢ晤㜶㤲慢㐹慥㈱㜹〷㠸㜲扣㘹㜶㘹㌴ㄲ㌹〹㉢攱㥤㜰慣散㤳ㄵ昱㥤攴戹㤶攴㍡㤰挰㌴㝢㍤愲挶㕥㤰づ摦㉦搲改㥡㔸㐲愹搳㤱㉣㔳敦つ〸攸㜷㠳戴扤〷㘴换㈶㉢㡢摤摥㤱㜲愹挶扡㔰㘶㘳㝣ち晢㔹〴愶㤷攴挶攷昲愹愹㘲㈱て愷㌳㘱昳㔰ち㍥挹㤲㌲㡤摣收挲挸㡣㘳攴㌶㘵昰搳㤶摢㙥㑤㕢愶㌳㠲摤㍣㌰昹㘶昸㝡〴㜱㡦愵㘷晦㥥㠸㍣搲㡣㈶挰㔱㔲〱攵㉡㍣㝡㕤㙣散愹户㝢戴〰晦戶㈵㙥㜷慡摤㌰戰扢㍡ち㈱㜷㐴扦ㄷ戵㝢晦戳ㅦ㜹昵昲㝦扢敢㠰昷㝢㈵㉣㔱ㅥ㝤〶㌲㙢㔷攲ㅢ㤱㥡㘸㤴愷攸㔵㉡慦挴挶捤㠸㌵挱っ㕣㍣㜶〹㡡慥㡢挷㈶扣㡣戰ㄳ㉡挶㑤敤㡢㜰ㅥ戴㠲㕤摢ㄷ㘶慣㍤摣敤㉣戰攱挸㜶㝤扣〴攰敤昶㘸㘱㑢挱ㄹ捤㤴愶戳收摣㘲摢ぢ㕣㌴㘵攵攱㌸㈹挲㝦ㄲ㑡㉢㑣㑦㕢㘹㙤㡦ㄷ㘶㡡㈹㙢㙣昴㘸㜰慣愰㝤戰㐵昱愹㐴ㄵ㥥挳昳ㄵ挰㥡ㄵ㈶ㄳ㝤㉢ち挳㥣ㄲ敢挵㙦㜸摢ㄷ㔸㌴㉡昸㠴攸慤愳愲搵ㅤㄹ㈷㙢戵摡㤲㉦攱戸つ㑤挲㈳㤵㙥戱㜷㑣㘱㍢㌴摡㙥㙦㉣㘶搲搹㑣摥㘲㠷〰昳昰㠴㘰戳戵ㄳ摥愷㙤㠵㔲㠶愷ㄷ敤昶㡥愲㤹㉦㑤㜳㈳㥤㥡㕢㔴ㄵ㤳昱ㅦ戳㠷㌳昹ㄲ㕥㈳摥㝡㠶㍢散昱愹挲ㅥㅣ㜲捤攴昲ㅢ捤改搲㔱搱㌳㥣慦摤㐷扡㐷㐵㔵㌴慡攲搱昸攱昶㤱㜱ㅢ㑡㕢散㌶扡ㄳ戶敡ㄴ㌳㤳㌳㔴㤸扣㠴㍥㤹㘶ㄲ㜴㈰扢㤰挱〶敢㍥㔷㝦捦㈷㐸㝦ㄷ敢㕡㜵㐰㔴搷昵㔲㍥㌹攴㡡慦㙦愷捣ㅤ㈰攷㙣扣㘰慣攲〹晥慢㡥晡㘲昴㉡㠵㘷搳戰攵㤵ㅤ㙦戲愹㜴㑤㠸㘹戴㈸㡣㑥㔸〲㘳㘱戳㑣搸挲㐳ぢ㕤㔰〹㙥㠰敦愶捤摥㙣㑥㕡㔹慣㥢㌹搳㔹攰㐶㠸㠱㜲㘶戶攴攵㡤ㄴ㜲㌹㤳㈶㐷㜳ㅤ㑦㤹㔹㉢㙥て捤㌸㠵昳㌲㜹㙤㠳㠸㕤㝡㐹收㉣㤲捣㔹㐹㙡戳户搳ㄵ㉤㘱㤶㔵搸㘹ㄶ㌳捥㔴㉥㤳㡡㌳㐲㜷昱㔱㘱慢㤸㐳㘴㔵㠳昶昹昸昳㐹㜸㌵㜷搷㌵㜴㜷㌷戰〵㔵挷敥㠷㐵㐷㤵㠱晦搴㘱㝡㉡㌱晢挸挲愲㍦㠸搲㘲㠰㍣㌲ㅤ攱㈷ㄲ搹敦ㅦ㘷敦扦ㄲ㈶㉡㤶慤〶挸㠰㍦晤㈱㄰㜲昳慦㤹扥扥㠶㙥㉣㥥て㈵㌶ㄷ捣昴〶散戸ち挵ㄶ敦㘸㍡㡥慥攵㔴㔳㑣搲戱㌸〲㕦㌵㝣攰扢㌳㘹慢ㄸ㘷挲㌸㄰㑡㌳㕤㤲㠶摢㠷搴㑤㈴ㄶ㙢㡤搷㝢搷㤸㕦搶㌲捦㕤ㄳ㍣㜶ㅦ慢㈹晦㝦捥㕦扤㤶つ㐹㈴㘴㤹晡㌰㠲晡㈳㈰㡡㉥㑢戶㈷挴昰㔱㌲摣〹ㄲ愳㜳㉣摣㌷搵㍥㍥捦ㄳ搸捣㜵慥㤹摥挷㌸㍣㜵攲戶㡣㐹㐳㕡〳敥㐶挳昵㌴挶晤㤳㘲㘳ㅣ㔶㙥愵ㄳ敥㔴㐳㝣搶㌶㔶ㅡ户㉥㥢攱㜱戰㤹㈵昲㠹㐶㜱昶ぢ挷㘱㜸㘳㕣㔳〹ㄴ㥤ㅢ户挴㉢愹敡愹慣㍣愵㈸晡改㡣㡦㠱㥣挰㠱㠵扡㑣㠴づ㈲攵摣戵ㅦっ挴㈳昸㤱〷㡢搶㕤っ攸㑦㤰㉡㝡昳㝣捤昱㐰搲㔳敤㈷ㄱ搴㜷㤳㠱㝥㉣㘲〸㝦挵晢ㄴ㠲㤸㉥ㄵㅤ㔸㕣昵㈲挶愷㐱づ㜵㤶㔵㥢挰捣㤹㔶㝦〶㐴㡤㠱㜰〲㉢ㅢ昴攷㄰㍥戸㐱㥦㑢〹晣改㝢㐰㝣㠳㔶㜴㤴昹㑤〹㔸挹攷挹㜸㉦㠸㍡慦㍥挳ㄷ挸㜰ㅦㄹ戶㠰搰㔲㡣㉦㠲㥣㌴㡦㔶扤㔳攳㍡㝡晤㌲愴㈲晡㉢愴㙡㍢㠸㕦ㄹㄹ㐸慥挹㝥ㄵ挹晡㙢㘴愰㝢㉣愸搷晢ㄱ愷㕥改ㄷ㜳昵晡㜵㠴づ㔹慦昴愴㠹㕥扦㠱㠰愲㑢慤㑡慦て㈰攱攰㝡㌵㈹㡢㍦晤㑤㤰戲㕥㈷ㄱ昱㥢ㄲ搰敢㠳㘴㝣〸㐴愵敡㌳㝣㡢って㤳㈱つ㈲㝡晤㌶〲挷捦愳㔷ㅥ㥢搷㔱敡㜷㈰ㄲ搱㡦㤰慡㈹㄰扦㈶〱㘳晤㉥㌹扥㐷㠶换㐰㠲㑡㝤ㄴ㜱㉡戵㠴㕦㔷愹㡦㈱㜴挸㑡㜵挰㉣㑡晤㍥〲㙡〶愴㑡愹晦㡥㠴㠳㉢㤵敥㍣㔱敡てㄱ㈸㉢㜵ㄶㄱ扦㈹〱愵㍥㡥㘴晤㈳㑡搰摦㔷㠷攱㍦挸昰㘳㌲搰〵㈸㑡晤〹〲ぢ㝣愵㝡昷〶敡㈸㜲ㅦ搸㈲晡〹㔲㐵㜷愰㕦㜸㐰㤱㍦㐵戲㝥ㄲ㈴㜶ㄵ㐸〳㔴㠱晤㐸挰ㅤ挳㥤戲㘱㕦㤰捦㌸㔸昰㔹㤱つㄹ〷搳㔱㥢つ㠲愰昸㑤㡥ㄷ㈰㄰㄰敡㉡㙦㌲㑥慥捤慡摡㜵扣戴㌶㍦戸つ㔹㔶㈷摢摤愰〴昶㈵〷㘳㤲㡤㑡㥤㍡ㅥ㑤㍢ㄷ攵敥愳扤捤㡢㕡㍥扦搷㈹愰㜷〲捦扦㘲㥦㈳㈳㌲愲㝦㠶㔲㘰挴戲攵昹㌹㠲挴换㙦挷㙦㘳ㄳ〹㌸攱戸㕥㈷戸敤㜱搳摡㍤㉦敦㔸扥〴攰㤰昰㘲㠰㠵ぢ扣攰搶ㄹ愷㉡挷㥣㕤散攵攰〸㘷㙢ㅥ㘰㍥㘵ㄶ搳㐷〹ㄲ㐴摢摣つ㡢㠰扡挳摣㔰愲㄰㍥〱晣〶㌷挱㉦㤰㐲㕤㕦㡤摦ㄷ攳挳散〰㝦㍢搵㕤㜶㙤挶ㄹ㍢捦㌲昳搲ぢ攳㑥㝡搴摡㉤扢晢㙤ㄶ戶收㠰㈹㔹㙢戱〸㤴愳㠲㝡戴㍤㌴㔹挲㉥搱攱ㄶ挰ぢ挹㐰搷昶㜶㉢㙢昲扥〵㄰扢ㄷ摡㤶㜲攰戱㉦ㄷ挰扢ㄴ㐷㑦て㐱㈳捤㕥㉦㈹改㈷愳㠱昱㔶㌷㠲㘳攸㌰㝢ㄵ㔳扢㉤捦搳㙢搵晢㙥攴昳攱戵ㄱ㍦㐰㜴㡥捥扤〶挵㌷搸㜸㘲慥つ㍡㥣㌹㤲ㄶ晢攷㈰敥っ㈷㤳㔷㥢㥦挶摤㘹㍢扤〸㐵〷ㄷ㡥㜸搷慢㠳㐳㈷ぢ昸敥㘴戰ㄱ换捥㉤戰挷昲愹散㑣摡㤲㕤㥣㍦㘷换㘶敥愸攸㉦戹㠸敢昶㔵〳扤㜸㑡ㄹ挳㙤㕣晦〲捡攱扢㜳昴㔳㔰慢㑣㜶㈸㈳愱㝦㠹ㄸ扢收ㅤ昸㝤搱摥㝤攲昲㐵㤵戳㈹戹〷㡡愹慤㈶㠹㜳ㅡ㕤戴攵〳〲ㄹ㜱〱戶捤㠵捤〵扡㠲〲㐹㥢㌲㙥搲㔱搱㑦㘸愷㍢昱ㄹ〶昶戲㠷㌹㐲㔸〸㘶㍤昹㠹散扦搲晢㕤㑢晤愳〷ㄴ摤昷㠲摣挴㘵捡㐵㐸㄰㔹㤴戰捣㘳戹ㄶ㈱㐱㘹扦㐶㐰㕤〷攲愲㌴户㍦昵㙦㤰㜰㜰㤴㜶㍤㘵昱愷㥦昶〲㡣愸ㅢ㐰㝣㥣㠴㈰㕥挸攱愷㥦㈱搹て愲摥つ㔲㠷攱㔹㌲晣ㄶ㈴昶㕥㤰昰㐴㌳慦戳ㅢ㠷ㄶ㤱㔸㡥晢挷㜸㡥晢㘸っ㔳〳㤷㘵攰捣挷ㄶ挲㘸㡤扦㠷挵㍥〷昲敤㠷ㅦ㕥㠳㥦㠸愲㌷搹㝦㝦〰挸晤㉦㤲昵敦挸㜰㉢〹㘳扦〷昱ㅦ㜵㍢㐲㤲晡〷㉦挰㐸散㠳㈰攱㑤㜲㡤〳愳ㄹ㑣㔸戰攱捡ㄸ㜷收戲㜰ㅦ㌱挸㑤戳ㅢ㘲戵摤㙣㙣攵ぢ㐵っ攵收昰㐹㔷㔹戶ㅢ㐵戵㉥〹摤㔴ㄳ㌱收搰㔳ㄲ㡢㘳攷㍡慦㍣㉢㕤戹戶㐲ㄹ㍥挶ㅦ㐱㤶㥣㤷㐹ㄵぢ愵㠲敤㜴㡥挳㌵摡挹㥢㝦㌶挶昲㔰捣㐰㠹㜵摦挹㠶㌵攷搱㤰搸㙥摥㠴㐹散捡ㄷ昶攴愵㌶戱ㄲ㉦㐰㡡扥㕡㕡昸ㅡ㡥㜰㜹㕥づ㉤㈶㍦㠴㈰㠵昵㥦㐸㕥〰㘹㡦㈶㍦㡣ㅦ㑡ㄸ㝦〶㔹㍥㌲㍣戲㝤㘲㘰㘰昵㐰㕦慡㙦愰搷敥㌳晢㝢㝡散挹㐱慢慦捦㕥戵㘲㜰戰摦ㅥ戴㔶昴㈴㍦攲挹攸扦㈰㤰晣愸ㅦ攳搸㐸搲㡢㈱㌵㘰㕥散㉥㤰㐳昵㈴戰㙡㙡㔲愵㔴㕡㔹捤㉤㉤㌵戸戱挶〳㔱扥收㘴ㄸ㙣㘸散挰㕦づㅣ〸㠳捤晡㐲搵ㅤ㐲㘱扡扢㜵ㄴ改扡〹㈴愱攸㜴㤰㘶㜰㡥愷挱昲㉦昹㐹㄰摡扥ㄱ㐳敡挲㤱攱㠹敡敢昴㤸㕤攰㌸㐵戲㑣㤰摢㜱攷搱㘸㐱捡〲愴〴扣戲挹扢扤㔲㜴ㅣ㤹㜲ㅢ㕤敥愵慢㑦㈱ㅤ㈹ㄱ摤㑡敡㍤敡㌳〸㐸㙡ㅢ㈸〳慣㠰愲晦㠱挳㐰㍤㠷㐶搳昸㄰㡥㘸㕡ㄴ㡤㐷㍤㡢㔴ㅡ㔰戵〱摣㠳㑣㌱㠰㈴捡搱ぢ㐱㘰〰㥦㐷㈲㡢㌵ㄶ㠱扡〶戰㙡㈰戵愲摦ㅣ㕣搱㥦敡㕦搹摦㘳昷慣㌶㔷昴攰㐲昶慡㤵㤳㘶慡㝦㜵㑦㙦㔲扣ㄴ㤰搱㡢㈱㤳愴㕦㠲㈵攸㈵㡣㠹㠳挲捦㔳㕦㐶㠸㐶愰㝥㠵ㅡ戱㠳㐴搱挷㠲㔱㉦〵㐹愸慦㌰ㄳ㝦晡㌸搰戲愲扦㡡ㄴ戶㔳㔳搱㥡㙡搵搴㘴昲㙢㝥㍡捦㑥攵挲扣㕣㥤㔷昷㈳ㅤ㈹㈱搵㠹㡢㠱愹㉦㐳ㅥ戳㐵㜵て㈰㈰慡晢捦扡慡晢㜱㕤搵搱搱㈰慡㕢捥ㄷ扦〲〴慡㝢㄰㠹㉣搶㌸ㄵ搴㔵㕤摦挰慡搵㝤㔶晦愰㘹昶愵晢㔳㘶敦㘰晦愴㥤敡㑦昵愵㝡㝢㈶捤㐹摢㑣㍥攴挹攸搳㈰㤳晣㤶ㅦ㍢㥤㌱昱㐱㈰㐵昲搴㜷㄰ㄲ搵㝤㍦愸扡㌳挱愸㕦〹㤲㔰㡦昸挲摤㠸㤶㔵昷㕤愴搶㔳摤昷晣昴㍥㤶㜰㈲㘲晡〴ㄶ昰㈸〹㘳㔵㔶昷㝤㍦㜵㈵昲㤸㉤慡愳㈳㐱㔴昷㘰㕤搵㍤㔰㔷㜵㜴㈷㠸敡捥攲㡢㕦つ〲搵㍤敥㤵㙦㥣㡤戸慢扡挱㠱㐱摢㕡搹搳㘷摡ㄶㄴ㘸つ㑥摡㤶搹㥦ㅡ㔸摤㤷㑥慤㕡㘹愶㔲㐹㜱㌷㐰㑥慦㠱㑣㤲づ〶晣㐶昴㙢ㄸㄳ㑦㠳㥦愷昶㈱㈴慡晢㑡㔰㜵㐳㘰搴挳㈰〹昵〴ㄸ㐴㜸〴㤴㑤攳㕦昲愷㕥㈰㙣㜵昴㌴㠸㑡㌷㠲㕢扥㝤搰愷㈰㈹昶㌳㤰昰㠴ㄳ㌸搲〸散㙥㕢挰㤹っ戸ㅣ㘴敡㕡㘸㥦㍦㘳㘶昱ㄹ捥㔶攰㕥㠷㐹㐷〳㕡㙡㜶㜷ㅦ〷㥤戵愵〹慦扢㤸㌳㑣㔸〷搵㤳慥搷㌶戹㤰㝡㜸搸㉢ㄱ晢㉣晡昱搰摥挲㕥慤慣戵慣ㅤ㝢づ搷ㄵ㤱㐱㥣㐶慦〰㜹昴㘶搰㈸〲晣㔳扦昰㔳㠳㠳㈰昶ㄴ㔲てㅤ搸戳搴挵㔸㠷扤捦昱㜸〲搴㤵挵ㅥ攷㄰づ摣戶㐰㔶ㄱ换㑢捤㠲㜵㔰㠲ㄵ㤱愳户㤱〷〱㌶㐷ㄱ㉢捡㐰扣㉢㌰㄰㡤敤挸㥦ㄷ㔰愸㡦搵ㅤ㥤㑦愳㈴ㄹ㥤㍢㈰摣摥㤴㝣〶㜱㍥挹晤敥㙦㈴㐹㡣挸㈷㐹㥣挸愷㠳挸㡥㥡攵㥣㜳㐴㥦㈴昱愰㡣戴搰扣㑦㠸㈸改慦㐵㉤攵㑢ㄷ昹收㈵改㠳挵㈴昱愱㌴攳㜵搲㡣ㄸ㈱捥慢攷㜷㍣〵㤶攳㉥散捦慡扥㤰㔸㡦㉦ㅥ收㘸ㄵ㑤㌸ㅤ㜲捦㔴㥡愳㘷ㅤ㕥㔹ㅣ㈴ㅡ㐵昱㉦㜶㍢㍡攰慦㈸〷つぢ㔸㌶㑢㍣㤹㈵㕦㡣㜴㐵㌰挷㈶慢㕢昱づ扥㐷㤴㌵㠱慣ㄸ㜱㔸摤慤㘱昸慢慢攰昷㜹散搹㘳㜲㘳㈵㘰ㄸ㕣㈳摡㔱ㄸ㉡㝦㈴戸搰挷㌶㕤晥㥤晥攵㤵ㄴ摦昳攲㡢㙤㉤㤶攵㜰㐷ㅥ㘰ㄵㄹ㕤晣〲攰㤸㑡㉣㜰㕣㜵㐲㈵ㄵづ㌷戸〱慣戴㕦㘲〹㈷㉦捤搱愶ㅡ㔰㈸搳慤晦㌹愰摣ㅡ攰慥㠴㥢㥦ㄳ敡㥣搴つ㘷ㅣ㌹㤶㡡㔳㔵㥡㠸搷㌰愱愳戶㌵换挶㤶昵慥㍡㙢搹㌹换晡晡㘲㌷㐳㝤攱戹愶晥㙢慡㝢㠴㉦㘵㡡㑥㠱敡㌴㠸㈲㉡㘳㜱㑣敥㈰扡㘴户㠴㐶捤晥戵㐸攳戳慥㠳搰㔳㌸㉥㔶㉦摢㍢ㄴ㝢攲捡昰㤵㥤愴㡦㐶戵〵㔶㙤㤳散㈴㤹㈲挹㤰㕣ち愲〸㉣ㄷ愲㐸扤㡥㘴㠸㘴ㄸ㐴敤㐵㕤敡摥捡戹摥换〸㕦ㄳ㑦晡㜳㔱㤲攸㔳〶搸㌴〲敤㑤㡡㄰㔲㉣敥㍡㠸搲攲挴ㄸ㡢㐸㔵〴㤶㤲昵㑥㉦㑢㡣㤱㌷ㄱㄴ昱㈲つ㔲㘹愲㑤㘳㌷〸㤴扦㕥㤴扦〱捡㔷㔷㐳挴搷㤸㥥㐵戶㥥〳㔱㐴㤶㝥㜲〷搱㘳㘳㐵ㄲ㕡㌶㔶愴㡦㌶昵攵㘰搵㙦㈰戹㠲攴㡤㈴㙦㈲攱戱戴㈲捣慣愷挸㌷愲㥡㜵ㄵ㜹㠵㤷ㄱ扥㙥㥥㈴〴ㄵ晤扤つ〱攸㡦㌸㔲㤴㜴戹愷㈴搱摦㔵㐸㔵㐴㤷㤲㌵敢㘵㠹晥慥㘶ㄶ㐱愳慢㍦㐲㑥攳ㅤ㈰搰摦㤰攸㙦㤸晡㜳㈰攲㉢㑡扦ㄳ搹晡㕡㄰㐵㜸改㈷㜷㄰㐲㌶搶ㅦ昱㘵㘳晤昹㤰㔳㕦〷㔶晤㉥㤲敢㐹昶㤲摣㐰昲㙥㄰搵〷㔲㑦㝦㔳㥥㥡㙡扥㔷搸改㘵㠴㙦慢㈷㠹㐳㐵㝦敦㐳〰晡㈳㤸ㄴ㈵㔹㥥㤲㐴㝦㌷㈱㔵ㄱ㘲㑡㔶捡换ㄲ晤摤捣㉣㈲㐷㔷㝦挴㥤挶㉤㈰慤㙢㤶㡤㉥ㅢ㍣㡢㐶搸慢㈶㈰攱敢㐹摦㡡㕣㝤ㅢ㠸㈲挴昴㤳㍢〸㈳ㅢ慢㡦ㄸ戳戱晡㝣搸愹㙦〷慢扥㠳攴〳㈰㡡〰戳㥥扥㉥昴搴㔲愳慦ぢ扣㡣昰攵㜶㜵㉥㡢攳挰扦ㄳ㤴㤵攱㕦㤲愰㐷戴昸㌱〴昴挷㐱摡愳㑡搰〷㔹晤挱㡥攴㐸㤲㜸㐳㔸㍦㐱慥㈶㐵㝣㈰㕡摤敡㘹㔵ㄴ㝥㌷㔲ㄵㄷ攵㑡慤㙦㘶㔱㌲摤㥣㌳㕦慤挷扣㡣㥡㑢㠰㕣扤て㜶〹㌰昰搱㘶〷㕥ㄵ戳改搴㘹戵摤㘴㉥戸㜲㑣㤳ㄵ㡦㐸ㅢ敥敢ㄴ昱搹攴㘶㕣㑢挳㉤ㅤ㝣㕤敥敤搸㜱㕤㡤ぢ㠵㝦㈳㐴㑢㡣挲㠶扤戵㠸㉢㈲㉤昶㔸〹〷ㄱ改㌸㍥晢㜲㜰捤㍦㝦㌴㐰㜳昸愸㥡〹㑣搰㤹晣搴㌲㕡搷㍤㐴扦㑦搸㤱ㄷ搸㤴㔴昴攱㍢愳愳扣收㜳㜸挰摣戸〷晤攵㥦㔲愷〳ㄷ搷㥡搵㐶㜴戱敢㠱㜸㜳攴㠰搴ㄹ㐸㕢摦ぢ㝥攳ぢ㈰㑤昸㥣㐹散ㄳ㈴愱敦㐳㡡㝢㔱㠸攷挱㤱ㄸ㌱㑤戸㜱㜴搸㙤㘰敢㐳摦㌴戶戶晡づ㌵ㄱ㈵收㔹ㄵ〲㙢搵晢ㄱ昷昲㡢㐰㡤㉥㌷散㕤㘵㈹㐱㌴㠰戰㠸㜰㤹ㄲ攳㝡㝥㑡愸挸㈰㈰㠰㜱敤挲户㔸慣㥢ㅥ㉢㡤捥挱㌷㤷㐹攱㘲捤挸㑣㙥挶㍤㝡㐲㐱捡㠵〷捤挴〵㡤愰〹㠷㘹㑢㙥挲攴晦捡㈳㥥㥢挸㕡昹㥤捥㔴昹㝦摦㠱㝤㈴慥ㄸ敢㉦愱㄰㡥㑤晥挵〸〵挲ㅤ㍥㙦㡢〹㍥扣捦ㅢ㜵㙥扤㜷㝦㉤㈶㕦㌳挷ㄹ攷㘷捤戱摣戸㘳㑤户收㕣攵㜰㔰㐰〸㉦㠳昷摣㌰晡㐳㡡㤸昷㑤㥥㙥㈹㉥㕢㍦慡搳㝤攲敢摣摦攷て昸〷㑣㝥摣晦㡤つ挱㝡づ敢㑤搰㐵㥤㉥㔴㐴㑡搴㤳晢㈴搷戹扦㝥〵㍥扦搶㡦晢扦㙡ㅤ㉡挰㑡㔰㐶ㄱ㘲㔵愴㤷慣昳戹摣摦㐷㙡愵搷〶愵㠹捤㉡搲㑢换搲㉢攴㜹戴㔶晡㌵㐱㘹㠲扡㡡昴㠹㘵㘹㔷㜵て搶㑡慦〹㑡ㄳつ㔶愴㍢㐳搲㜵摡㝤㜶㔰㝡ㅡ搲㥣㤱㡤㙦㠰搴ㅦ收㘷㠱扦㜶㤸㍦〰㝥捤㘱㕥ㄹ攲て㌲㠹愳摢㍤愹㔷㐵挴㌹捣晤㐷ㄱㅦ㜲昰㌲つ㥦㉥㐷㈲ㅣ㜶㌸捡㈷晥攳愰搱摦〲昱㡤㕥ㄱ戶㔵ㅡㄶ戶愸㍡つ敢て㌶散つ㔵搲㘱㜳愸愳搴ㄵ㐱㘹〲挵捡扢㉢收㌰㙦㠷昶〵愵摦㔸㈵㕤㌱〷㔷ㄱ㜵㡣愹㌷㈸㑤㘸㕡㜹㜷搸ㅣ敡戴扢㈷㈸㑤㑣㕢㤱づ㥢〳㑥㝣攵㜹晥㠰晦慢㕥ㄵ㤴㝥ㅢ愴挵ㅣ扥㠷㐰㝤㜳㜸㈵昸㙢捤攱㌱昰㠷捣攱〷㑣ち㤸挳㔵㠸㔷㤹〳攱㙥搹ㅣ〸㘴㍤㜳㈰㥣ㄵ㜳昸㈱〲㘵㜳㈰ち慤㌴慣㘲づ㙥㤷摣㕦摢戰㔳㠳つ㈳㝣慤㐸㔷捣㘱摥㉥㜹㐵㔰㥡戸户㈲㕤㌱〷昷㍣晤〷戵敦㕥ㅥ㤴摥㕢㈵㕤㌱㠷㜹㙢扥㉣㈸㑤愴㕤㜹㜷搸ㅣ敡㜴攸换㠳搲㠴攸ㄵ改㐳㌰㠷㔳㠲搲〴攲㘲づ晢㄰愸㙦づ㥤攰慦㌵㠷㥦㠲㍦㘴づ晦挵愴㠰㌹㄰挷㔷㤹〳搱㝢搹ㅣ〸捣㍤㜳戸つ㐱㌱㠷㥦㈳㔰㌶㠷摢ㄱ愹㌴捣摦㘱晢㜶㕤㘷㡣ㅤㅦ㙣搸ㅤ㔵搲㤱㜵晥㘸挰㘱㈶㥥ㅦ搷㜶攸㜱㐱㘹攲昸捡扢挳愶㔸㘷扡㕦ㅡ㤰㑥ㄲ慤戳ㄹ晡㤷〸攸㕦㤱晣ㅡ㈴愱〸搸〵㝥㉦〱㍢昷摢愷㤳敢㌷㐸㔵㠴昱㤲戵挸换㍡つ㔹㜱摣て㈰㜲㤷ㅥ㝡〶㠱捡搷㘳扢改㠹㈹㐵㔵ㄲ散搲㍢扦敥㍢捥ㅢ昲㠰㘸捦㠲搷昸㉤〸㍦收㔱㔱㌶㥥㄰敤㌹愴〴㝢攸㙥挴搹㐳㍢㙥扣㜷摤㥦㔷㕣㍣ㄴ㈳戴ぢ挳㤰㜹㜱㈷㜸㘱㌲㠷攵㉢晤ㅤ㘴ㄵ〱㈳换搰扦昷〲㡣㜴㄰ㄶ㌱㄰攷扥㐰㜱ㄱ㘲愵昴ㅦ㤸捣昵〷晦㈲晡㜹㉦挰㐸〷搷ㄴ〶㕣〹捥㔳㈲昱㐷㈶㜳㡡㘲㥥晥㍦㉦挰㐸〷愷ㅤ〶㕣〹㥡戲㐸晣㠹挹戴㘲收改ㄷ扣〰㈳ㅤ戴㑣〶㕣〹昶慢㜴㔶㤳搷㔹㘷㌳㉢㙡㈸昶戵㘴㐴扤っㅥ㥣挷㜱㈵㡥晤㉦ㄹ捡换愰〱㙡晡慤㍢搸晤㙤㠸戵㝣ㄷ捥愵㍢㥢昶愹晢愲晢搴㉤搱晤㤱㉣㌲戲慡㈹愲搸㥢㔲㐱昶愴㘲㈷攲ㅦ㑥㍡ㄹ㐳㐰晥㐴愳㑣昵扤愹〸㐷㤲搴慣㔸㈲户ㅣ搸晦㠹ㄶ挹搵㑡㈱敦㐹㔲㥢挲㘵戸㕣愲㌹㘴㔶㜳㔱㠳挲ㄵ㜷戹㐴㕢㌵㕣搴㥡㜰㈵㠴慢㠳㑤扣〸㕣搱㔹㤵扡㈴㝤挹㈵捦㜷㌴㜷ㅥ摦晣摡㜵㙤㌷㍥昱搰㤳㝢ㅦ㝢晤㥡愷㕥戸改愶挷㝥戶昷攱ㄷ敥㥢㕣昳挰慤户㝥晤㥣昷㍦晣攴㈲晢㤶攸㘷㥦摦㝣换ㄵ扤扢慥戸捣扥攰㡣㡤㔷晣搳愵攷昷㙥㕢搸搵搴搴搲㜲敡攲㙦㉥㍤㉤昹收换敥㔱㕦㝤晣搸㍣㍥㙢昰搴㔱搵㈴敡㐶慡搱㠶〰ㅡ捥昶㡢晥㥦晢戳㍢昲㠶㔱㈷㜸搸ㄴ㥢㉣ㄹ扦つ㘵戰㤵㤲昱㙣㈸㠳つ㤳㡣晤愱っ扥㑡㌲㥥愹捥㘸晤㝦摢戹散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</si>
</sst>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P\(\F\o\r\t\j\e\&gt;\=\ 0\)"/>
  </numFmts>
  <fonts count="7" x14ac:knownFonts="1">
    <font>
      <sz val="10"/>
      <name val="Arial"/>
    </font>
    <font>
      <sz val="8"/>
      <name val="Arial"/>
      <family val="2"/>
    </font>
    <font>
      <b/>
      <sz val="10"/>
      <name val="Arial"/>
      <family val="2"/>
    </font>
    <font>
      <sz val="10"/>
      <name val="Arial"/>
      <family val="2"/>
    </font>
    <font>
      <i/>
      <sz val="11"/>
      <color rgb="FF7F7F7F"/>
      <name val="Calibri"/>
      <family val="2"/>
      <scheme val="minor"/>
    </font>
    <font>
      <sz val="11"/>
      <color rgb="FF006100"/>
      <name val="Calibri"/>
      <family val="2"/>
      <scheme val="minor"/>
    </font>
    <font>
      <sz val="11"/>
      <color rgb="FF3F3F76"/>
      <name val="Calibri"/>
      <family val="2"/>
      <scheme val="minor"/>
    </font>
  </fonts>
  <fills count="4">
    <fill>
      <patternFill patternType="none"/>
    </fill>
    <fill>
      <patternFill patternType="gray125"/>
    </fill>
    <fill>
      <patternFill patternType="solid">
        <fgColor rgb="FFC6EFCE"/>
      </patternFill>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0" fontId="4" fillId="0" borderId="0" applyNumberFormat="0" applyFill="0" applyBorder="0" applyAlignment="0" applyProtection="0"/>
    <xf numFmtId="0" fontId="5" fillId="2" borderId="0" applyNumberFormat="0" applyBorder="0" applyAlignment="0" applyProtection="0"/>
    <xf numFmtId="0" fontId="6" fillId="3" borderId="1" applyNumberFormat="0" applyAlignment="0" applyProtection="0"/>
  </cellStyleXfs>
  <cellXfs count="27">
    <xf numFmtId="0" fontId="0" fillId="0" borderId="0" xfId="0"/>
    <xf numFmtId="0" fontId="0" fillId="0" borderId="0" xfId="0" applyAlignment="1">
      <alignment horizontal="center"/>
    </xf>
    <xf numFmtId="0" fontId="3" fillId="0" borderId="0" xfId="0" applyFont="1"/>
    <xf numFmtId="0" fontId="2" fillId="0" borderId="0" xfId="0" applyFont="1"/>
    <xf numFmtId="0" fontId="2" fillId="0" borderId="0" xfId="0" applyFont="1" applyAlignment="1"/>
    <xf numFmtId="0" fontId="6" fillId="3" borderId="1" xfId="3"/>
    <xf numFmtId="0" fontId="4" fillId="0" borderId="0" xfId="1"/>
    <xf numFmtId="0" fontId="3" fillId="0" borderId="0" xfId="0" applyFont="1" applyAlignment="1">
      <alignment horizontal="center"/>
    </xf>
    <xf numFmtId="0" fontId="2" fillId="0" borderId="0" xfId="0" applyFont="1" applyAlignment="1">
      <alignment horizontal="left"/>
    </xf>
    <xf numFmtId="0" fontId="3" fillId="0" borderId="0" xfId="0" applyFont="1" applyAlignment="1">
      <alignment horizontal="left"/>
    </xf>
    <xf numFmtId="0" fontId="6" fillId="3" borderId="1" xfId="3" applyAlignment="1">
      <alignment horizontal="left"/>
    </xf>
    <xf numFmtId="0" fontId="0" fillId="0" borderId="0" xfId="0" applyAlignment="1">
      <alignment horizontal="left"/>
    </xf>
    <xf numFmtId="0" fontId="3" fillId="0" borderId="0" xfId="0" applyFont="1" applyAlignment="1">
      <alignment horizontal="left" wrapText="1"/>
    </xf>
    <xf numFmtId="0" fontId="4" fillId="0" borderId="0" xfId="1" applyAlignment="1">
      <alignment horizontal="left"/>
    </xf>
    <xf numFmtId="0" fontId="5" fillId="2" borderId="0" xfId="2"/>
    <xf numFmtId="0" fontId="6" fillId="3" borderId="1" xfId="3" applyAlignment="1">
      <alignment horizontal="center"/>
    </xf>
    <xf numFmtId="164" fontId="6" fillId="3" borderId="1" xfId="3" applyNumberFormat="1" applyAlignment="1">
      <alignment horizontal="center"/>
    </xf>
    <xf numFmtId="2" fontId="6" fillId="3" borderId="1" xfId="3" applyNumberFormat="1" applyAlignment="1">
      <alignment horizontal="center"/>
    </xf>
    <xf numFmtId="0" fontId="4" fillId="0" borderId="0" xfId="1" applyAlignment="1"/>
    <xf numFmtId="0" fontId="6" fillId="3" borderId="1" xfId="3" applyAlignment="1"/>
    <xf numFmtId="0" fontId="5" fillId="2" borderId="2" xfId="2" applyBorder="1" applyAlignment="1">
      <alignment horizontal="center"/>
    </xf>
    <xf numFmtId="0" fontId="5" fillId="2" borderId="0" xfId="2" applyAlignment="1">
      <alignment horizontal="center"/>
    </xf>
    <xf numFmtId="2" fontId="5" fillId="2" borderId="0" xfId="2" applyNumberFormat="1"/>
    <xf numFmtId="0" fontId="0" fillId="0" borderId="0" xfId="0" quotePrefix="1"/>
    <xf numFmtId="0" fontId="5" fillId="2" borderId="1" xfId="2" applyBorder="1" applyAlignment="1"/>
    <xf numFmtId="165" fontId="5" fillId="2" borderId="0" xfId="2" applyNumberFormat="1"/>
    <xf numFmtId="0" fontId="0" fillId="0" borderId="0" xfId="0"/>
  </cellXfs>
  <cellStyles count="4">
    <cellStyle name="Explanatory Text" xfId="1" builtinId="53"/>
    <cellStyle name="Good" xfId="2" builtinId="26"/>
    <cellStyle name="Input" xfId="3" builtinId="20"/>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1"/>
  <sheetViews>
    <sheetView workbookViewId="0"/>
  </sheetViews>
  <sheetFormatPr baseColWidth="10" defaultColWidth="8.83203125" defaultRowHeight="13" x14ac:dyDescent="0.15"/>
  <cols>
    <col min="1" max="2" width="36.6640625" customWidth="1"/>
  </cols>
  <sheetData>
    <row r="1" spans="1:3" x14ac:dyDescent="0.15">
      <c r="A1" s="3" t="s">
        <v>36</v>
      </c>
    </row>
    <row r="3" spans="1:3" x14ac:dyDescent="0.15">
      <c r="A3" t="s">
        <v>37</v>
      </c>
      <c r="B3" t="s">
        <v>38</v>
      </c>
      <c r="C3">
        <v>0</v>
      </c>
    </row>
    <row r="4" spans="1:3" x14ac:dyDescent="0.15">
      <c r="A4" t="s">
        <v>39</v>
      </c>
    </row>
    <row r="5" spans="1:3" x14ac:dyDescent="0.15">
      <c r="A5" t="s">
        <v>40</v>
      </c>
    </row>
    <row r="7" spans="1:3" x14ac:dyDescent="0.15">
      <c r="A7" s="3" t="s">
        <v>41</v>
      </c>
      <c r="B7" t="s">
        <v>42</v>
      </c>
    </row>
    <row r="8" spans="1:3" x14ac:dyDescent="0.15">
      <c r="B8">
        <v>2</v>
      </c>
    </row>
    <row r="10" spans="1:3" x14ac:dyDescent="0.15">
      <c r="A10" t="s">
        <v>43</v>
      </c>
    </row>
    <row r="11" spans="1:3" x14ac:dyDescent="0.15">
      <c r="A11" t="e">
        <f>CB_DATA_!#REF!</f>
        <v>#REF!</v>
      </c>
      <c r="B11" t="e">
        <f>#REF!</f>
        <v>#REF!</v>
      </c>
    </row>
    <row r="13" spans="1:3" x14ac:dyDescent="0.15">
      <c r="A13" t="s">
        <v>44</v>
      </c>
    </row>
    <row r="14" spans="1:3" x14ac:dyDescent="0.15">
      <c r="A14" t="s">
        <v>48</v>
      </c>
      <c r="B14" t="s">
        <v>51</v>
      </c>
    </row>
    <row r="16" spans="1:3" x14ac:dyDescent="0.15">
      <c r="A16" t="s">
        <v>45</v>
      </c>
    </row>
    <row r="19" spans="1:2" x14ac:dyDescent="0.15">
      <c r="A19" t="s">
        <v>46</v>
      </c>
    </row>
    <row r="20" spans="1:2" x14ac:dyDescent="0.15">
      <c r="A20">
        <v>28</v>
      </c>
      <c r="B20">
        <v>31</v>
      </c>
    </row>
    <row r="25" spans="1:2" x14ac:dyDescent="0.15">
      <c r="A25" s="3" t="s">
        <v>47</v>
      </c>
    </row>
    <row r="26" spans="1:2" x14ac:dyDescent="0.15">
      <c r="A26" s="23" t="s">
        <v>49</v>
      </c>
      <c r="B26" s="23" t="s">
        <v>52</v>
      </c>
    </row>
    <row r="27" spans="1:2" x14ac:dyDescent="0.15">
      <c r="A27" t="s">
        <v>53</v>
      </c>
      <c r="B27" t="s">
        <v>55</v>
      </c>
    </row>
    <row r="28" spans="1:2" x14ac:dyDescent="0.15">
      <c r="A28" s="23" t="s">
        <v>50</v>
      </c>
      <c r="B28" s="23" t="s">
        <v>50</v>
      </c>
    </row>
    <row r="29" spans="1:2" x14ac:dyDescent="0.15">
      <c r="B29" s="23" t="s">
        <v>49</v>
      </c>
    </row>
    <row r="30" spans="1:2" x14ac:dyDescent="0.15">
      <c r="B30" t="s">
        <v>54</v>
      </c>
    </row>
    <row r="31" spans="1:2" x14ac:dyDescent="0.15">
      <c r="B31" s="23" t="s">
        <v>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
  <sheetViews>
    <sheetView tabSelected="1" workbookViewId="0">
      <selection activeCell="B56" sqref="B56"/>
    </sheetView>
  </sheetViews>
  <sheetFormatPr baseColWidth="10" defaultColWidth="8.83203125" defaultRowHeight="13" x14ac:dyDescent="0.15"/>
  <cols>
    <col min="1" max="1" width="14.1640625" style="11" customWidth="1"/>
    <col min="2" max="2" width="10.83203125" customWidth="1"/>
    <col min="3" max="7" width="9.6640625" customWidth="1"/>
    <col min="8" max="8" width="13.33203125" bestFit="1" customWidth="1"/>
  </cols>
  <sheetData>
    <row r="1" spans="1:7" x14ac:dyDescent="0.15">
      <c r="A1" s="8" t="s">
        <v>27</v>
      </c>
      <c r="B1" s="4"/>
      <c r="C1" s="4"/>
      <c r="D1" s="4"/>
      <c r="E1" s="4"/>
      <c r="F1" s="4"/>
      <c r="G1" s="4"/>
    </row>
    <row r="2" spans="1:7" x14ac:dyDescent="0.15">
      <c r="A2" s="8"/>
      <c r="B2" s="4"/>
      <c r="C2" s="4"/>
      <c r="D2" s="4"/>
      <c r="E2" s="4"/>
      <c r="F2" s="4"/>
      <c r="G2" s="4"/>
    </row>
    <row r="3" spans="1:7" x14ac:dyDescent="0.15">
      <c r="A3" s="9" t="s">
        <v>9</v>
      </c>
      <c r="B3" s="4"/>
      <c r="C3" s="4"/>
      <c r="D3" s="4"/>
      <c r="E3" s="4"/>
      <c r="F3" s="4"/>
      <c r="G3" s="4"/>
    </row>
    <row r="4" spans="1:7" x14ac:dyDescent="0.15">
      <c r="A4" s="9"/>
      <c r="B4" s="4"/>
      <c r="C4" s="4"/>
      <c r="D4" s="4"/>
      <c r="E4" s="4"/>
      <c r="F4" s="4"/>
      <c r="G4" s="4"/>
    </row>
    <row r="5" spans="1:7" ht="15" x14ac:dyDescent="0.2">
      <c r="A5" s="10" t="s">
        <v>26</v>
      </c>
      <c r="B5" s="19">
        <v>5</v>
      </c>
      <c r="C5" s="4"/>
      <c r="D5" s="4"/>
      <c r="E5" s="4"/>
      <c r="F5" s="4"/>
      <c r="G5" s="4"/>
    </row>
    <row r="6" spans="1:7" x14ac:dyDescent="0.15">
      <c r="A6" s="8"/>
      <c r="B6" s="4"/>
      <c r="C6" s="4"/>
      <c r="D6" s="4"/>
      <c r="E6" s="4"/>
      <c r="F6" s="4"/>
      <c r="G6" s="4"/>
    </row>
    <row r="7" spans="1:7" x14ac:dyDescent="0.15">
      <c r="A7" s="9" t="s">
        <v>10</v>
      </c>
    </row>
    <row r="8" spans="1:7" ht="15" x14ac:dyDescent="0.2">
      <c r="A8" s="10" t="s">
        <v>2</v>
      </c>
      <c r="B8" s="5">
        <v>16</v>
      </c>
    </row>
    <row r="9" spans="1:7" ht="15" x14ac:dyDescent="0.2">
      <c r="A9" s="10" t="s">
        <v>3</v>
      </c>
      <c r="B9" s="5">
        <v>10</v>
      </c>
    </row>
    <row r="10" spans="1:7" ht="15" x14ac:dyDescent="0.2">
      <c r="A10" s="10" t="s">
        <v>4</v>
      </c>
      <c r="B10" s="5">
        <v>4</v>
      </c>
    </row>
    <row r="11" spans="1:7" ht="15" x14ac:dyDescent="0.2">
      <c r="A11" s="10" t="s">
        <v>5</v>
      </c>
      <c r="B11" s="5">
        <v>10</v>
      </c>
    </row>
    <row r="13" spans="1:7" ht="15" x14ac:dyDescent="0.2">
      <c r="A13" s="13" t="s">
        <v>15</v>
      </c>
    </row>
    <row r="14" spans="1:7" ht="14.25" customHeight="1" x14ac:dyDescent="0.15">
      <c r="A14" s="12" t="s">
        <v>14</v>
      </c>
      <c r="B14" s="7" t="s">
        <v>19</v>
      </c>
    </row>
    <row r="15" spans="1:7" ht="14" x14ac:dyDescent="0.15">
      <c r="A15" s="12" t="s">
        <v>0</v>
      </c>
      <c r="B15" s="1">
        <v>4</v>
      </c>
    </row>
    <row r="16" spans="1:7" ht="14" x14ac:dyDescent="0.15">
      <c r="A16" s="12" t="s">
        <v>16</v>
      </c>
      <c r="B16" s="1">
        <f>MIN($B$5,B15)*B8</f>
        <v>64</v>
      </c>
    </row>
    <row r="17" spans="1:8" ht="14" x14ac:dyDescent="0.15">
      <c r="A17" s="12" t="s">
        <v>17</v>
      </c>
      <c r="B17" s="1">
        <f>MAX(0,$B$5-B15)*B10</f>
        <v>4</v>
      </c>
    </row>
    <row r="18" spans="1:8" ht="14" x14ac:dyDescent="0.15">
      <c r="A18" s="12" t="s">
        <v>18</v>
      </c>
      <c r="B18" s="1">
        <f>$B$5*B9</f>
        <v>50</v>
      </c>
    </row>
    <row r="19" spans="1:8" ht="14" x14ac:dyDescent="0.15">
      <c r="A19" s="12" t="s">
        <v>5</v>
      </c>
      <c r="B19" s="1">
        <f>MAX(0,B15-$B$5)*B11</f>
        <v>0</v>
      </c>
    </row>
    <row r="20" spans="1:8" ht="15" x14ac:dyDescent="0.2">
      <c r="A20" s="12" t="s">
        <v>6</v>
      </c>
      <c r="B20" s="20">
        <f>B16+B17-B18-B19</f>
        <v>18</v>
      </c>
    </row>
    <row r="30" spans="1:8" x14ac:dyDescent="0.15">
      <c r="H30" s="1"/>
    </row>
  </sheetData>
  <phoneticPr fontId="1" type="noConversion"/>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49"/>
  <sheetViews>
    <sheetView workbookViewId="0">
      <selection activeCell="A8" sqref="A8:B11"/>
    </sheetView>
  </sheetViews>
  <sheetFormatPr baseColWidth="10" defaultColWidth="8.83203125" defaultRowHeight="13" x14ac:dyDescent="0.15"/>
  <cols>
    <col min="1" max="1" width="13" customWidth="1"/>
    <col min="2" max="2" width="13.33203125" customWidth="1"/>
    <col min="3" max="3" width="9.1640625" customWidth="1"/>
    <col min="4" max="4" width="18.6640625" customWidth="1"/>
    <col min="5" max="5" width="13.33203125" customWidth="1"/>
    <col min="6" max="6" width="7.1640625" customWidth="1"/>
    <col min="7" max="7" width="11" customWidth="1"/>
    <col min="8" max="8" width="13.33203125" bestFit="1" customWidth="1"/>
    <col min="9" max="9" width="13.33203125" customWidth="1"/>
  </cols>
  <sheetData>
    <row r="1" spans="1:11" x14ac:dyDescent="0.15">
      <c r="A1" s="4" t="s">
        <v>28</v>
      </c>
      <c r="B1" s="4"/>
      <c r="C1" s="4"/>
      <c r="D1" s="4"/>
      <c r="E1" s="4"/>
      <c r="F1" s="4"/>
      <c r="G1" s="4"/>
    </row>
    <row r="2" spans="1:11" x14ac:dyDescent="0.15">
      <c r="A2" s="4"/>
      <c r="B2" s="4"/>
      <c r="C2" s="4"/>
      <c r="D2" s="4"/>
      <c r="E2" s="4"/>
      <c r="F2" s="4"/>
      <c r="G2" s="4"/>
    </row>
    <row r="3" spans="1:11" x14ac:dyDescent="0.15">
      <c r="A3" s="2" t="s">
        <v>9</v>
      </c>
      <c r="B3" s="4"/>
      <c r="C3" s="4"/>
      <c r="D3" s="4"/>
      <c r="E3" s="4"/>
      <c r="F3" s="4"/>
      <c r="G3" s="4"/>
    </row>
    <row r="4" spans="1:11" x14ac:dyDescent="0.15">
      <c r="A4" s="4"/>
      <c r="B4" s="4"/>
      <c r="C4" s="4"/>
      <c r="D4" s="4"/>
      <c r="E4" s="4"/>
      <c r="F4" s="4"/>
      <c r="G4" s="4"/>
    </row>
    <row r="5" spans="1:11" ht="15" x14ac:dyDescent="0.2">
      <c r="A5" s="10" t="s">
        <v>26</v>
      </c>
      <c r="B5" s="24">
        <v>5</v>
      </c>
      <c r="C5" s="4"/>
      <c r="D5" s="4"/>
      <c r="E5" s="4"/>
      <c r="F5" s="4"/>
      <c r="G5" s="4"/>
    </row>
    <row r="6" spans="1:11" x14ac:dyDescent="0.15">
      <c r="A6" s="4"/>
      <c r="B6" s="4"/>
      <c r="C6" s="4"/>
      <c r="D6" s="4"/>
      <c r="E6" s="4"/>
      <c r="F6" s="4"/>
      <c r="G6" s="4"/>
    </row>
    <row r="7" spans="1:11" ht="15" x14ac:dyDescent="0.2">
      <c r="A7" s="6" t="s">
        <v>10</v>
      </c>
      <c r="C7" s="4"/>
      <c r="D7" s="18" t="s">
        <v>13</v>
      </c>
      <c r="E7" s="4"/>
      <c r="F7" s="4"/>
      <c r="G7" s="4"/>
      <c r="H7" s="4"/>
      <c r="I7" s="4"/>
    </row>
    <row r="8" spans="1:11" ht="15" x14ac:dyDescent="0.2">
      <c r="A8" s="5" t="s">
        <v>2</v>
      </c>
      <c r="B8" s="5">
        <v>16</v>
      </c>
      <c r="C8" s="4"/>
      <c r="D8" s="15" t="s">
        <v>14</v>
      </c>
      <c r="E8" s="15" t="s">
        <v>25</v>
      </c>
      <c r="F8" s="15" t="s">
        <v>24</v>
      </c>
    </row>
    <row r="9" spans="1:11" ht="15" x14ac:dyDescent="0.2">
      <c r="A9" s="5" t="s">
        <v>3</v>
      </c>
      <c r="B9" s="5">
        <v>10</v>
      </c>
      <c r="C9" s="4"/>
      <c r="D9" s="15">
        <v>1</v>
      </c>
      <c r="E9" s="17">
        <v>0.25</v>
      </c>
      <c r="F9" s="17">
        <v>0</v>
      </c>
    </row>
    <row r="10" spans="1:11" ht="15" x14ac:dyDescent="0.2">
      <c r="A10" s="5" t="s">
        <v>4</v>
      </c>
      <c r="B10" s="5">
        <v>4</v>
      </c>
      <c r="C10" s="4"/>
      <c r="D10" s="15">
        <v>2</v>
      </c>
      <c r="E10" s="17">
        <v>0.45</v>
      </c>
      <c r="F10" s="17">
        <f>F9+E9</f>
        <v>0.25</v>
      </c>
    </row>
    <row r="11" spans="1:11" ht="15" x14ac:dyDescent="0.2">
      <c r="A11" s="5" t="s">
        <v>5</v>
      </c>
      <c r="B11" s="5">
        <v>10</v>
      </c>
      <c r="C11" s="4"/>
      <c r="D11" s="15">
        <v>3</v>
      </c>
      <c r="E11" s="17">
        <v>0.3</v>
      </c>
      <c r="F11" s="17">
        <f>F10+E10</f>
        <v>0.7</v>
      </c>
      <c r="G11" s="4"/>
    </row>
    <row r="14" spans="1:11" ht="15" x14ac:dyDescent="0.2">
      <c r="A14" s="6" t="s">
        <v>12</v>
      </c>
    </row>
    <row r="15" spans="1:11" x14ac:dyDescent="0.15">
      <c r="A15" s="26" t="s">
        <v>7</v>
      </c>
      <c r="B15" s="26"/>
      <c r="E15" t="s">
        <v>1</v>
      </c>
      <c r="I15" t="s">
        <v>8</v>
      </c>
    </row>
    <row r="16" spans="1:11" ht="15" x14ac:dyDescent="0.2">
      <c r="A16" s="15" t="s">
        <v>11</v>
      </c>
      <c r="B16" s="15" t="s">
        <v>25</v>
      </c>
      <c r="C16" s="15" t="s">
        <v>24</v>
      </c>
      <c r="D16" s="1"/>
      <c r="E16" s="15" t="s">
        <v>11</v>
      </c>
      <c r="F16" s="15" t="s">
        <v>25</v>
      </c>
      <c r="G16" s="15" t="s">
        <v>24</v>
      </c>
      <c r="H16" s="1"/>
      <c r="I16" s="15" t="s">
        <v>11</v>
      </c>
      <c r="J16" s="15" t="s">
        <v>25</v>
      </c>
      <c r="K16" s="15" t="s">
        <v>24</v>
      </c>
    </row>
    <row r="17" spans="1:11" ht="15" x14ac:dyDescent="0.2">
      <c r="A17" s="15">
        <v>3</v>
      </c>
      <c r="B17" s="15">
        <v>0.15</v>
      </c>
      <c r="C17" s="17">
        <v>0</v>
      </c>
      <c r="D17" s="1"/>
      <c r="E17" s="15">
        <v>3</v>
      </c>
      <c r="F17" s="17">
        <v>0.1</v>
      </c>
      <c r="G17" s="17">
        <v>0</v>
      </c>
      <c r="H17" s="1"/>
      <c r="I17" s="15">
        <v>3</v>
      </c>
      <c r="J17" s="16">
        <v>0.05</v>
      </c>
      <c r="K17" s="17">
        <v>0</v>
      </c>
    </row>
    <row r="18" spans="1:11" ht="15" x14ac:dyDescent="0.2">
      <c r="A18" s="15">
        <v>4</v>
      </c>
      <c r="B18" s="15">
        <v>0.25</v>
      </c>
      <c r="C18" s="17">
        <f>C17+B17</f>
        <v>0.15</v>
      </c>
      <c r="D18" s="1"/>
      <c r="E18" s="15">
        <v>4</v>
      </c>
      <c r="F18" s="17">
        <v>0.2</v>
      </c>
      <c r="G18" s="17">
        <f>G17+F17</f>
        <v>0.1</v>
      </c>
      <c r="H18" s="1"/>
      <c r="I18" s="15">
        <v>4</v>
      </c>
      <c r="J18" s="16">
        <v>0.1</v>
      </c>
      <c r="K18" s="17">
        <f>K17+J17</f>
        <v>0.05</v>
      </c>
    </row>
    <row r="19" spans="1:11" ht="15" x14ac:dyDescent="0.2">
      <c r="A19" s="15">
        <v>5</v>
      </c>
      <c r="B19" s="15">
        <v>0.35</v>
      </c>
      <c r="C19" s="17">
        <f>C18+B18</f>
        <v>0.4</v>
      </c>
      <c r="D19" s="1"/>
      <c r="E19" s="15">
        <v>5</v>
      </c>
      <c r="F19" s="17">
        <v>0.3</v>
      </c>
      <c r="G19" s="17">
        <f>G18+F18</f>
        <v>0.30000000000000004</v>
      </c>
      <c r="H19" s="1"/>
      <c r="I19" s="15">
        <v>5</v>
      </c>
      <c r="J19" s="16">
        <v>0.25</v>
      </c>
      <c r="K19" s="17">
        <f>K18+J18</f>
        <v>0.15000000000000002</v>
      </c>
    </row>
    <row r="20" spans="1:11" ht="15" x14ac:dyDescent="0.2">
      <c r="A20" s="15">
        <v>6</v>
      </c>
      <c r="B20" s="15">
        <v>0.15</v>
      </c>
      <c r="C20" s="17">
        <f t="shared" ref="C20:C22" si="0">C19+B19</f>
        <v>0.75</v>
      </c>
      <c r="D20" s="1"/>
      <c r="E20" s="15">
        <v>6</v>
      </c>
      <c r="F20" s="17">
        <v>0.25</v>
      </c>
      <c r="G20" s="17">
        <f t="shared" ref="G20:G22" si="1">G19+F19</f>
        <v>0.60000000000000009</v>
      </c>
      <c r="H20" s="1"/>
      <c r="I20" s="15">
        <v>6</v>
      </c>
      <c r="J20" s="16">
        <v>0.3</v>
      </c>
      <c r="K20" s="17">
        <f t="shared" ref="K20:K22" si="2">K19+J19</f>
        <v>0.4</v>
      </c>
    </row>
    <row r="21" spans="1:11" ht="15" x14ac:dyDescent="0.2">
      <c r="A21" s="15">
        <v>7</v>
      </c>
      <c r="B21" s="15">
        <v>0.05</v>
      </c>
      <c r="C21" s="17">
        <f t="shared" si="0"/>
        <v>0.9</v>
      </c>
      <c r="D21" s="1"/>
      <c r="E21" s="15">
        <v>7</v>
      </c>
      <c r="F21" s="17">
        <v>0.1</v>
      </c>
      <c r="G21" s="17">
        <f t="shared" si="1"/>
        <v>0.85000000000000009</v>
      </c>
      <c r="H21" s="1"/>
      <c r="I21" s="15">
        <v>7</v>
      </c>
      <c r="J21" s="16">
        <v>0.2</v>
      </c>
      <c r="K21" s="17">
        <f t="shared" si="2"/>
        <v>0.7</v>
      </c>
    </row>
    <row r="22" spans="1:11" ht="15" x14ac:dyDescent="0.2">
      <c r="A22" s="15">
        <v>8</v>
      </c>
      <c r="B22" s="15">
        <v>0.05</v>
      </c>
      <c r="C22" s="17">
        <f t="shared" si="0"/>
        <v>0.95000000000000007</v>
      </c>
      <c r="D22" s="1"/>
      <c r="E22" s="15">
        <v>8</v>
      </c>
      <c r="F22" s="17">
        <v>0.05</v>
      </c>
      <c r="G22" s="17">
        <f t="shared" si="1"/>
        <v>0.95000000000000007</v>
      </c>
      <c r="H22" s="1"/>
      <c r="I22" s="15">
        <v>8</v>
      </c>
      <c r="J22" s="16">
        <v>0.1</v>
      </c>
      <c r="K22" s="17">
        <f t="shared" si="2"/>
        <v>0.89999999999999991</v>
      </c>
    </row>
    <row r="25" spans="1:11" ht="15" x14ac:dyDescent="0.2">
      <c r="A25" s="13" t="s">
        <v>15</v>
      </c>
      <c r="D25" s="6" t="s">
        <v>20</v>
      </c>
    </row>
    <row r="26" spans="1:11" ht="14" x14ac:dyDescent="0.15">
      <c r="A26" s="12" t="s">
        <v>14</v>
      </c>
      <c r="B26" s="1" t="str">
        <f ca="1">IF(E26=1,"Lav",IF(E26=2,"Mellem","Høj"))</f>
        <v>Mellem</v>
      </c>
      <c r="D26" s="2" t="s">
        <v>14</v>
      </c>
      <c r="E26">
        <f ca="1">LOOKUP(F26,F9:F11,D9:D11)</f>
        <v>2</v>
      </c>
      <c r="F26">
        <f ca="1">RAND()</f>
        <v>0.37272470190846363</v>
      </c>
    </row>
    <row r="27" spans="1:11" ht="14" x14ac:dyDescent="0.15">
      <c r="A27" s="12" t="s">
        <v>0</v>
      </c>
      <c r="B27" s="1">
        <f ca="1">E27</f>
        <v>4</v>
      </c>
      <c r="D27" s="2" t="s">
        <v>0</v>
      </c>
      <c r="E27">
        <f ca="1">IF(B26="Lav",E30,IF(B26="Mellem",E29,E28))</f>
        <v>4</v>
      </c>
    </row>
    <row r="28" spans="1:11" ht="14" x14ac:dyDescent="0.15">
      <c r="A28" s="12" t="s">
        <v>16</v>
      </c>
      <c r="B28" s="1">
        <f ca="1">MIN($B$5,B27)*B8</f>
        <v>64</v>
      </c>
      <c r="D28" s="2" t="s">
        <v>21</v>
      </c>
      <c r="E28">
        <f ca="1">LOOKUP(F28,K17:K22,I17:I22)</f>
        <v>7</v>
      </c>
      <c r="F28">
        <f ca="1">RAND()</f>
        <v>0.89945132325218358</v>
      </c>
    </row>
    <row r="29" spans="1:11" ht="13.5" customHeight="1" x14ac:dyDescent="0.15">
      <c r="A29" s="12" t="s">
        <v>17</v>
      </c>
      <c r="B29" s="1">
        <f ca="1">MAX(0,$B$5-B27)*B10</f>
        <v>4</v>
      </c>
      <c r="D29" s="2" t="s">
        <v>22</v>
      </c>
      <c r="E29">
        <f ca="1">LOOKUP(F29,G17:G22,E17:E22)</f>
        <v>4</v>
      </c>
      <c r="F29">
        <f ca="1">RAND()</f>
        <v>0.19131139335576886</v>
      </c>
    </row>
    <row r="30" spans="1:11" ht="14" x14ac:dyDescent="0.15">
      <c r="A30" s="12" t="s">
        <v>18</v>
      </c>
      <c r="B30" s="1">
        <f>$B$5*B9</f>
        <v>50</v>
      </c>
      <c r="D30" s="2" t="s">
        <v>23</v>
      </c>
      <c r="E30">
        <f ca="1">LOOKUP(F30,C17:C22,A17:A22)</f>
        <v>5</v>
      </c>
      <c r="F30">
        <f ca="1">RAND()</f>
        <v>0.42664994376048471</v>
      </c>
    </row>
    <row r="31" spans="1:11" ht="14" x14ac:dyDescent="0.15">
      <c r="A31" s="12" t="s">
        <v>5</v>
      </c>
      <c r="B31" s="1">
        <f ca="1">MAX(0,B27-$B$5)*B11</f>
        <v>0</v>
      </c>
    </row>
    <row r="32" spans="1:11" ht="15" x14ac:dyDescent="0.2">
      <c r="A32" s="12" t="s">
        <v>6</v>
      </c>
      <c r="B32" s="20">
        <f ca="1">B28+B29-B30-B31</f>
        <v>18</v>
      </c>
    </row>
    <row r="49" spans="8:9" x14ac:dyDescent="0.15">
      <c r="H49" s="1"/>
      <c r="I49" s="1"/>
    </row>
  </sheetData>
  <mergeCells count="1">
    <mergeCell ref="A15:B15"/>
  </mergeCell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5"/>
  <sheetViews>
    <sheetView topLeftCell="A4" workbookViewId="0">
      <selection activeCell="G86" sqref="G86"/>
    </sheetView>
  </sheetViews>
  <sheetFormatPr baseColWidth="10" defaultColWidth="8.83203125" defaultRowHeight="13" x14ac:dyDescent="0.15"/>
  <cols>
    <col min="1" max="1" width="13" customWidth="1"/>
    <col min="2" max="2" width="13.33203125" customWidth="1"/>
    <col min="3" max="3" width="9.1640625" customWidth="1"/>
    <col min="4" max="4" width="18.6640625" customWidth="1"/>
    <col min="5" max="5" width="13.33203125" customWidth="1"/>
    <col min="6" max="6" width="7.1640625" customWidth="1"/>
    <col min="7" max="7" width="11" customWidth="1"/>
    <col min="8" max="8" width="13.33203125" bestFit="1" customWidth="1"/>
    <col min="9" max="9" width="13.33203125" customWidth="1"/>
  </cols>
  <sheetData>
    <row r="1" spans="1:11" x14ac:dyDescent="0.15">
      <c r="A1" s="4" t="s">
        <v>29</v>
      </c>
      <c r="B1" s="4"/>
      <c r="C1" s="4"/>
      <c r="D1" s="4"/>
      <c r="E1" s="4"/>
      <c r="F1" s="4"/>
      <c r="G1" s="4"/>
    </row>
    <row r="2" spans="1:11" x14ac:dyDescent="0.15">
      <c r="A2" s="4"/>
      <c r="B2" s="4"/>
      <c r="C2" s="4"/>
      <c r="D2" s="4"/>
      <c r="E2" s="4"/>
      <c r="F2" s="4"/>
      <c r="G2" s="4"/>
    </row>
    <row r="3" spans="1:11" x14ac:dyDescent="0.15">
      <c r="A3" s="2" t="s">
        <v>9</v>
      </c>
      <c r="B3" s="4"/>
      <c r="C3" s="4"/>
      <c r="D3" s="4"/>
      <c r="E3" s="4"/>
      <c r="F3" s="4"/>
      <c r="G3" s="4"/>
    </row>
    <row r="4" spans="1:11" x14ac:dyDescent="0.15">
      <c r="A4" s="4"/>
      <c r="B4" s="4"/>
      <c r="C4" s="4"/>
      <c r="D4" s="4"/>
      <c r="E4" s="4"/>
      <c r="F4" s="4"/>
      <c r="G4" s="4"/>
    </row>
    <row r="5" spans="1:11" ht="15" x14ac:dyDescent="0.2">
      <c r="A5" s="10" t="s">
        <v>26</v>
      </c>
      <c r="B5" s="19">
        <v>5</v>
      </c>
      <c r="C5" s="4"/>
      <c r="D5" s="4"/>
      <c r="E5" s="4"/>
      <c r="F5" s="4"/>
      <c r="G5" s="4"/>
    </row>
    <row r="6" spans="1:11" x14ac:dyDescent="0.15">
      <c r="A6" s="4"/>
      <c r="B6" s="4"/>
      <c r="C6" s="4"/>
      <c r="D6" s="4"/>
      <c r="E6" s="4"/>
      <c r="F6" s="4"/>
      <c r="G6" s="4"/>
    </row>
    <row r="7" spans="1:11" ht="15" x14ac:dyDescent="0.2">
      <c r="A7" s="6" t="s">
        <v>10</v>
      </c>
      <c r="C7" s="4"/>
      <c r="D7" s="18" t="s">
        <v>13</v>
      </c>
      <c r="E7" s="4"/>
      <c r="F7" s="4"/>
      <c r="G7" s="4"/>
      <c r="H7" s="4"/>
      <c r="I7" s="4"/>
    </row>
    <row r="8" spans="1:11" ht="15" x14ac:dyDescent="0.2">
      <c r="A8" s="5" t="s">
        <v>2</v>
      </c>
      <c r="B8" s="5">
        <v>16</v>
      </c>
      <c r="C8" s="4"/>
      <c r="D8" s="15" t="s">
        <v>14</v>
      </c>
      <c r="E8" s="15" t="s">
        <v>25</v>
      </c>
      <c r="F8" s="15" t="s">
        <v>24</v>
      </c>
    </row>
    <row r="9" spans="1:11" ht="15" x14ac:dyDescent="0.2">
      <c r="A9" s="5" t="s">
        <v>3</v>
      </c>
      <c r="B9" s="5">
        <v>10</v>
      </c>
      <c r="C9" s="4"/>
      <c r="D9" s="15">
        <v>1</v>
      </c>
      <c r="E9" s="17">
        <v>0.25</v>
      </c>
      <c r="F9" s="17">
        <v>0</v>
      </c>
    </row>
    <row r="10" spans="1:11" ht="15" x14ac:dyDescent="0.2">
      <c r="A10" s="5" t="s">
        <v>4</v>
      </c>
      <c r="B10" s="5">
        <v>4</v>
      </c>
      <c r="C10" s="4"/>
      <c r="D10" s="15">
        <v>2</v>
      </c>
      <c r="E10" s="17">
        <v>0.45</v>
      </c>
      <c r="F10" s="17">
        <f>F9+E9</f>
        <v>0.25</v>
      </c>
    </row>
    <row r="11" spans="1:11" ht="15" x14ac:dyDescent="0.2">
      <c r="A11" s="5" t="s">
        <v>5</v>
      </c>
      <c r="B11" s="5">
        <v>10</v>
      </c>
      <c r="C11" s="4"/>
      <c r="D11" s="15">
        <v>3</v>
      </c>
      <c r="E11" s="17">
        <v>0.3</v>
      </c>
      <c r="F11" s="17">
        <f>F10+E10</f>
        <v>0.7</v>
      </c>
      <c r="G11" s="4"/>
    </row>
    <row r="14" spans="1:11" ht="15" x14ac:dyDescent="0.2">
      <c r="A14" s="6" t="s">
        <v>12</v>
      </c>
    </row>
    <row r="15" spans="1:11" x14ac:dyDescent="0.15">
      <c r="A15" s="26" t="s">
        <v>7</v>
      </c>
      <c r="B15" s="26"/>
      <c r="E15" t="s">
        <v>1</v>
      </c>
      <c r="I15" t="s">
        <v>8</v>
      </c>
    </row>
    <row r="16" spans="1:11" ht="15" x14ac:dyDescent="0.2">
      <c r="A16" s="15" t="s">
        <v>11</v>
      </c>
      <c r="B16" s="15" t="s">
        <v>25</v>
      </c>
      <c r="C16" s="15" t="s">
        <v>24</v>
      </c>
      <c r="D16" s="1"/>
      <c r="E16" s="15" t="s">
        <v>11</v>
      </c>
      <c r="F16" s="15" t="s">
        <v>25</v>
      </c>
      <c r="G16" s="15" t="s">
        <v>24</v>
      </c>
      <c r="H16" s="1"/>
      <c r="I16" s="15" t="s">
        <v>11</v>
      </c>
      <c r="J16" s="15" t="s">
        <v>25</v>
      </c>
      <c r="K16" s="15" t="s">
        <v>24</v>
      </c>
    </row>
    <row r="17" spans="1:11" ht="15" x14ac:dyDescent="0.2">
      <c r="A17" s="15">
        <v>3</v>
      </c>
      <c r="B17" s="15">
        <v>0.15</v>
      </c>
      <c r="C17" s="17">
        <v>0</v>
      </c>
      <c r="D17" s="1"/>
      <c r="E17" s="15">
        <v>3</v>
      </c>
      <c r="F17" s="17">
        <v>0.1</v>
      </c>
      <c r="G17" s="17">
        <v>0</v>
      </c>
      <c r="H17" s="1"/>
      <c r="I17" s="15">
        <v>3</v>
      </c>
      <c r="J17" s="16">
        <v>0.05</v>
      </c>
      <c r="K17" s="17">
        <v>0</v>
      </c>
    </row>
    <row r="18" spans="1:11" ht="15" x14ac:dyDescent="0.2">
      <c r="A18" s="15">
        <v>4</v>
      </c>
      <c r="B18" s="15">
        <v>0.25</v>
      </c>
      <c r="C18" s="17">
        <f>C17+B17</f>
        <v>0.15</v>
      </c>
      <c r="D18" s="1"/>
      <c r="E18" s="15">
        <v>4</v>
      </c>
      <c r="F18" s="17">
        <v>0.2</v>
      </c>
      <c r="G18" s="17">
        <f>G17+F17</f>
        <v>0.1</v>
      </c>
      <c r="H18" s="1"/>
      <c r="I18" s="15">
        <v>4</v>
      </c>
      <c r="J18" s="16">
        <v>0.1</v>
      </c>
      <c r="K18" s="17">
        <f>K17+J17</f>
        <v>0.05</v>
      </c>
    </row>
    <row r="19" spans="1:11" ht="15" x14ac:dyDescent="0.2">
      <c r="A19" s="15">
        <v>5</v>
      </c>
      <c r="B19" s="15">
        <v>0.35</v>
      </c>
      <c r="C19" s="17">
        <f>C18+B18</f>
        <v>0.4</v>
      </c>
      <c r="D19" s="1"/>
      <c r="E19" s="15">
        <v>5</v>
      </c>
      <c r="F19" s="17">
        <v>0.3</v>
      </c>
      <c r="G19" s="17">
        <f>G18+F18</f>
        <v>0.30000000000000004</v>
      </c>
      <c r="H19" s="1"/>
      <c r="I19" s="15">
        <v>5</v>
      </c>
      <c r="J19" s="16">
        <v>0.25</v>
      </c>
      <c r="K19" s="17">
        <f>K18+J18</f>
        <v>0.15000000000000002</v>
      </c>
    </row>
    <row r="20" spans="1:11" ht="15" x14ac:dyDescent="0.2">
      <c r="A20" s="15">
        <v>6</v>
      </c>
      <c r="B20" s="15">
        <v>0.15</v>
      </c>
      <c r="C20" s="17">
        <f>C19+B19</f>
        <v>0.75</v>
      </c>
      <c r="D20" s="1"/>
      <c r="E20" s="15">
        <v>6</v>
      </c>
      <c r="F20" s="17">
        <v>0.25</v>
      </c>
      <c r="G20" s="17">
        <f t="shared" ref="G20:G22" si="0">G19+F19</f>
        <v>0.60000000000000009</v>
      </c>
      <c r="H20" s="1"/>
      <c r="I20" s="15">
        <v>6</v>
      </c>
      <c r="J20" s="16">
        <v>0.3</v>
      </c>
      <c r="K20" s="17">
        <f t="shared" ref="K20:K22" si="1">K19+J19</f>
        <v>0.4</v>
      </c>
    </row>
    <row r="21" spans="1:11" ht="15" x14ac:dyDescent="0.2">
      <c r="A21" s="15">
        <v>7</v>
      </c>
      <c r="B21" s="15">
        <v>0.05</v>
      </c>
      <c r="C21" s="17">
        <f t="shared" ref="C21:C22" si="2">C20+B20</f>
        <v>0.9</v>
      </c>
      <c r="D21" s="1"/>
      <c r="E21" s="15">
        <v>7</v>
      </c>
      <c r="F21" s="17">
        <v>0.1</v>
      </c>
      <c r="G21" s="17">
        <f t="shared" si="0"/>
        <v>0.85000000000000009</v>
      </c>
      <c r="H21" s="1"/>
      <c r="I21" s="15">
        <v>7</v>
      </c>
      <c r="J21" s="16">
        <v>0.2</v>
      </c>
      <c r="K21" s="17">
        <f t="shared" si="1"/>
        <v>0.7</v>
      </c>
    </row>
    <row r="22" spans="1:11" ht="15" x14ac:dyDescent="0.2">
      <c r="A22" s="15">
        <v>8</v>
      </c>
      <c r="B22" s="15">
        <v>0.05</v>
      </c>
      <c r="C22" s="17">
        <f t="shared" si="2"/>
        <v>0.95000000000000007</v>
      </c>
      <c r="D22" s="1"/>
      <c r="E22" s="15">
        <v>8</v>
      </c>
      <c r="F22" s="17">
        <v>0.05</v>
      </c>
      <c r="G22" s="17">
        <f t="shared" si="0"/>
        <v>0.95000000000000007</v>
      </c>
      <c r="H22" s="1"/>
      <c r="I22" s="15">
        <v>8</v>
      </c>
      <c r="J22" s="16">
        <v>0.1</v>
      </c>
      <c r="K22" s="17">
        <f t="shared" si="1"/>
        <v>0.89999999999999991</v>
      </c>
    </row>
    <row r="25" spans="1:11" ht="15" x14ac:dyDescent="0.2">
      <c r="A25" s="13" t="s">
        <v>15</v>
      </c>
      <c r="D25" s="6" t="s">
        <v>20</v>
      </c>
    </row>
    <row r="26" spans="1:11" ht="14" x14ac:dyDescent="0.15">
      <c r="A26" s="12" t="s">
        <v>14</v>
      </c>
      <c r="B26" s="1" t="str">
        <f ca="1">IF(E26=1,"Lav",IF(E26=2,"Mellem","Høj"))</f>
        <v>Mellem</v>
      </c>
      <c r="D26" s="2" t="s">
        <v>14</v>
      </c>
      <c r="E26">
        <f ca="1">IF(F26&lt;0.25,1,IF(F26&lt;0.7,2,3))</f>
        <v>2</v>
      </c>
      <c r="F26">
        <f ca="1">RAND()</f>
        <v>0.44905324467805174</v>
      </c>
    </row>
    <row r="27" spans="1:11" ht="14" x14ac:dyDescent="0.15">
      <c r="A27" s="12" t="s">
        <v>0</v>
      </c>
      <c r="B27" s="1">
        <f ca="1">E27</f>
        <v>5</v>
      </c>
      <c r="D27" s="2" t="s">
        <v>0</v>
      </c>
      <c r="E27">
        <f ca="1">IF(B26="Lav",E30,IF(B26="Mellem",E29,E28))</f>
        <v>5</v>
      </c>
    </row>
    <row r="28" spans="1:11" ht="14" x14ac:dyDescent="0.15">
      <c r="A28" s="12" t="s">
        <v>16</v>
      </c>
      <c r="B28" s="1">
        <f ca="1">MIN($B$5,B27)*B8</f>
        <v>80</v>
      </c>
      <c r="D28" s="2" t="s">
        <v>21</v>
      </c>
      <c r="E28">
        <f ca="1">IF(F28&lt;0.05,3,IF(F28&lt;0.15,4,IF(F28&lt;0.4,5,IF(F28&lt;0.7,6,IF(F28&lt;0.9,7,8)))))</f>
        <v>5</v>
      </c>
      <c r="F28">
        <f ca="1">RAND()</f>
        <v>0.22158913193861629</v>
      </c>
    </row>
    <row r="29" spans="1:11" ht="13.5" customHeight="1" x14ac:dyDescent="0.15">
      <c r="A29" s="12" t="s">
        <v>17</v>
      </c>
      <c r="B29" s="1">
        <f ca="1">MAX(0,$B$5-B27)*B10</f>
        <v>0</v>
      </c>
      <c r="D29" s="2" t="s">
        <v>22</v>
      </c>
      <c r="E29">
        <f ca="1">IF(F29&lt;0.1,3,IF(F29&lt;0.3,4,IF(F29&lt;0.6,5,IF(F29&lt;0.85,6,IF(F29&lt;0.95,7,8)))))</f>
        <v>5</v>
      </c>
      <c r="F29">
        <f ca="1">RAND()</f>
        <v>0.3944698507053408</v>
      </c>
    </row>
    <row r="30" spans="1:11" ht="14" x14ac:dyDescent="0.15">
      <c r="A30" s="12" t="s">
        <v>18</v>
      </c>
      <c r="B30" s="1">
        <f>$B$5*B9</f>
        <v>50</v>
      </c>
      <c r="D30" s="2" t="s">
        <v>23</v>
      </c>
      <c r="E30">
        <f ca="1">IF(F30&lt;0.15,3,IF(F30&lt;0.4,4,IF(F30&lt;0.75,5,IF(F30&lt;0.9,6,IF(F30&lt;0.95,7,8)))))</f>
        <v>6</v>
      </c>
      <c r="F30">
        <f ca="1">RAND()</f>
        <v>0.8736205466794279</v>
      </c>
    </row>
    <row r="31" spans="1:11" ht="14" x14ac:dyDescent="0.15">
      <c r="A31" s="12" t="s">
        <v>5</v>
      </c>
      <c r="B31" s="1">
        <f ca="1">MAX(0,B27-$B$5)*B11</f>
        <v>0</v>
      </c>
    </row>
    <row r="32" spans="1:11" ht="15" x14ac:dyDescent="0.2">
      <c r="A32" s="12" t="s">
        <v>6</v>
      </c>
      <c r="B32" s="20">
        <f ca="1">B28+B29-B30-B31</f>
        <v>30</v>
      </c>
    </row>
    <row r="45" spans="8:9" x14ac:dyDescent="0.15">
      <c r="H45" s="1"/>
      <c r="I45" s="1"/>
    </row>
  </sheetData>
  <mergeCells count="1">
    <mergeCell ref="A15:B15"/>
  </mergeCell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203"/>
  <sheetViews>
    <sheetView topLeftCell="A10" workbookViewId="0">
      <selection activeCell="E43" sqref="E43"/>
    </sheetView>
  </sheetViews>
  <sheetFormatPr baseColWidth="10" defaultColWidth="8.83203125" defaultRowHeight="13" x14ac:dyDescent="0.15"/>
  <cols>
    <col min="1" max="1" width="13" customWidth="1"/>
    <col min="2" max="2" width="13.33203125" customWidth="1"/>
    <col min="3" max="3" width="9.1640625" customWidth="1"/>
    <col min="4" max="4" width="18.6640625" customWidth="1"/>
    <col min="5" max="5" width="13.33203125" customWidth="1"/>
    <col min="6" max="6" width="7.1640625" customWidth="1"/>
    <col min="7" max="7" width="11" customWidth="1"/>
    <col min="8" max="8" width="13.33203125" bestFit="1" customWidth="1"/>
    <col min="9" max="9" width="13.33203125" customWidth="1"/>
    <col min="10" max="10" width="13.5" bestFit="1" customWidth="1"/>
    <col min="13" max="13" width="9.1640625" style="1"/>
    <col min="14" max="14" width="10.6640625" style="1" customWidth="1"/>
  </cols>
  <sheetData>
    <row r="1" spans="1:14" x14ac:dyDescent="0.15">
      <c r="A1" s="4" t="s">
        <v>30</v>
      </c>
      <c r="B1" s="4"/>
      <c r="C1" s="4"/>
      <c r="D1" s="4"/>
      <c r="E1" s="4"/>
      <c r="F1" s="4"/>
      <c r="G1" s="4"/>
    </row>
    <row r="2" spans="1:14" x14ac:dyDescent="0.15">
      <c r="A2" s="4"/>
      <c r="B2" s="4"/>
      <c r="C2" s="4"/>
      <c r="D2" s="4"/>
      <c r="E2" s="4"/>
      <c r="F2" s="4"/>
      <c r="G2" s="4"/>
    </row>
    <row r="3" spans="1:14" ht="15" x14ac:dyDescent="0.2">
      <c r="A3" s="2" t="s">
        <v>9</v>
      </c>
      <c r="B3" s="4"/>
      <c r="C3" s="4"/>
      <c r="D3" s="4"/>
      <c r="E3" s="4"/>
      <c r="F3" s="4"/>
      <c r="G3" s="4"/>
      <c r="M3" s="21" t="s">
        <v>31</v>
      </c>
      <c r="N3" s="21" t="s">
        <v>6</v>
      </c>
    </row>
    <row r="4" spans="1:14" ht="15" x14ac:dyDescent="0.2">
      <c r="A4" s="4"/>
      <c r="B4" s="4"/>
      <c r="C4" s="4"/>
      <c r="D4" s="4"/>
      <c r="E4" s="4"/>
      <c r="F4" s="4"/>
      <c r="G4" s="4"/>
      <c r="M4" s="21">
        <v>1</v>
      </c>
      <c r="N4" s="21">
        <f ca="1">B32</f>
        <v>30</v>
      </c>
    </row>
    <row r="5" spans="1:14" ht="15" x14ac:dyDescent="0.2">
      <c r="A5" s="10" t="s">
        <v>26</v>
      </c>
      <c r="B5" s="19">
        <v>5</v>
      </c>
      <c r="C5" s="4"/>
      <c r="D5" s="4"/>
      <c r="E5" s="4"/>
      <c r="F5" s="4"/>
      <c r="G5" s="4"/>
      <c r="M5" s="21">
        <v>2</v>
      </c>
      <c r="N5" s="21">
        <f t="dataTable" ref="N5:N203" dt2D="0" dtr="0" r1="P4" ca="1"/>
        <v>0</v>
      </c>
    </row>
    <row r="6" spans="1:14" ht="15" x14ac:dyDescent="0.2">
      <c r="A6" s="4"/>
      <c r="B6" s="4"/>
      <c r="C6" s="4"/>
      <c r="D6" s="4"/>
      <c r="E6" s="4"/>
      <c r="F6" s="4"/>
      <c r="G6" s="4"/>
      <c r="M6" s="21">
        <v>3</v>
      </c>
      <c r="N6" s="21">
        <v>30</v>
      </c>
    </row>
    <row r="7" spans="1:14" ht="15" x14ac:dyDescent="0.2">
      <c r="A7" s="6" t="s">
        <v>10</v>
      </c>
      <c r="C7" s="4"/>
      <c r="D7" s="18" t="s">
        <v>13</v>
      </c>
      <c r="E7" s="4"/>
      <c r="F7" s="4"/>
      <c r="G7" s="4"/>
      <c r="H7" s="4"/>
      <c r="I7" s="4"/>
      <c r="M7" s="21">
        <v>4</v>
      </c>
      <c r="N7" s="21">
        <v>30</v>
      </c>
    </row>
    <row r="8" spans="1:14" ht="15" x14ac:dyDescent="0.2">
      <c r="A8" s="5" t="s">
        <v>2</v>
      </c>
      <c r="B8" s="5">
        <v>16</v>
      </c>
      <c r="C8" s="4"/>
      <c r="D8" s="15" t="s">
        <v>14</v>
      </c>
      <c r="E8" s="15" t="s">
        <v>25</v>
      </c>
      <c r="F8" s="15" t="s">
        <v>24</v>
      </c>
      <c r="M8" s="21">
        <v>5</v>
      </c>
      <c r="N8" s="21">
        <v>18</v>
      </c>
    </row>
    <row r="9" spans="1:14" ht="15" x14ac:dyDescent="0.2">
      <c r="A9" s="5" t="s">
        <v>3</v>
      </c>
      <c r="B9" s="5">
        <v>10</v>
      </c>
      <c r="C9" s="4"/>
      <c r="D9" s="15">
        <v>1</v>
      </c>
      <c r="E9" s="17">
        <v>0.25</v>
      </c>
      <c r="F9" s="17">
        <v>0</v>
      </c>
      <c r="J9" s="14" t="s">
        <v>32</v>
      </c>
      <c r="K9" s="22">
        <f ca="1">AVERAGE(N4:N203)</f>
        <v>18.329999999999998</v>
      </c>
      <c r="M9" s="21">
        <v>6</v>
      </c>
      <c r="N9" s="21">
        <v>30</v>
      </c>
    </row>
    <row r="10" spans="1:14" ht="15" x14ac:dyDescent="0.2">
      <c r="A10" s="5" t="s">
        <v>4</v>
      </c>
      <c r="B10" s="5">
        <v>4</v>
      </c>
      <c r="C10" s="4"/>
      <c r="D10" s="15">
        <v>2</v>
      </c>
      <c r="E10" s="17">
        <v>0.45</v>
      </c>
      <c r="F10" s="17">
        <f>F9+E9</f>
        <v>0.25</v>
      </c>
      <c r="J10" s="14" t="s">
        <v>33</v>
      </c>
      <c r="K10" s="22">
        <f ca="1">STDEV(N4:N203)</f>
        <v>9.2985707012114034</v>
      </c>
      <c r="M10" s="21">
        <v>7</v>
      </c>
      <c r="N10" s="21">
        <v>20</v>
      </c>
    </row>
    <row r="11" spans="1:14" ht="15" x14ac:dyDescent="0.2">
      <c r="A11" s="5" t="s">
        <v>5</v>
      </c>
      <c r="B11" s="5">
        <v>10</v>
      </c>
      <c r="C11" s="4"/>
      <c r="D11" s="15">
        <v>3</v>
      </c>
      <c r="E11" s="17">
        <v>0.3</v>
      </c>
      <c r="F11" s="17">
        <f>F10+E10</f>
        <v>0.7</v>
      </c>
      <c r="G11" s="4"/>
      <c r="J11" s="14" t="s">
        <v>34</v>
      </c>
      <c r="K11" s="14">
        <f ca="1">MIN(N4:N203)</f>
        <v>0</v>
      </c>
      <c r="M11" s="21">
        <v>8</v>
      </c>
      <c r="N11" s="21">
        <v>18</v>
      </c>
    </row>
    <row r="12" spans="1:14" ht="15" x14ac:dyDescent="0.2">
      <c r="J12" s="14" t="s">
        <v>35</v>
      </c>
      <c r="K12" s="14">
        <f ca="1">MAX(N4:N203)</f>
        <v>30</v>
      </c>
      <c r="M12" s="21">
        <v>9</v>
      </c>
      <c r="N12" s="21">
        <v>6</v>
      </c>
    </row>
    <row r="13" spans="1:14" ht="15" x14ac:dyDescent="0.2">
      <c r="I13" s="2"/>
      <c r="J13" s="25">
        <v>0</v>
      </c>
      <c r="K13" s="14">
        <f ca="1">COUNTIFS(N4:N203,"&gt;="&amp;J13)/200</f>
        <v>1</v>
      </c>
      <c r="M13" s="21">
        <v>10</v>
      </c>
      <c r="N13" s="21">
        <v>0</v>
      </c>
    </row>
    <row r="14" spans="1:14" ht="15" x14ac:dyDescent="0.2">
      <c r="A14" s="6" t="s">
        <v>12</v>
      </c>
      <c r="M14" s="21">
        <v>11</v>
      </c>
      <c r="N14" s="21">
        <v>30</v>
      </c>
    </row>
    <row r="15" spans="1:14" ht="15" x14ac:dyDescent="0.2">
      <c r="A15" s="26" t="s">
        <v>7</v>
      </c>
      <c r="B15" s="26"/>
      <c r="E15" t="s">
        <v>1</v>
      </c>
      <c r="I15" t="s">
        <v>8</v>
      </c>
      <c r="M15" s="21">
        <v>12</v>
      </c>
      <c r="N15" s="21">
        <v>20</v>
      </c>
    </row>
    <row r="16" spans="1:14" ht="15" x14ac:dyDescent="0.2">
      <c r="A16" s="15" t="s">
        <v>11</v>
      </c>
      <c r="B16" s="15" t="s">
        <v>25</v>
      </c>
      <c r="C16" s="15" t="s">
        <v>24</v>
      </c>
      <c r="D16" s="1"/>
      <c r="E16" s="15" t="s">
        <v>11</v>
      </c>
      <c r="F16" s="15" t="s">
        <v>25</v>
      </c>
      <c r="G16" s="15" t="s">
        <v>24</v>
      </c>
      <c r="H16" s="1"/>
      <c r="I16" s="15" t="s">
        <v>11</v>
      </c>
      <c r="J16" s="15" t="s">
        <v>25</v>
      </c>
      <c r="K16" s="15" t="s">
        <v>24</v>
      </c>
      <c r="M16" s="21">
        <v>13</v>
      </c>
      <c r="N16" s="21">
        <v>18</v>
      </c>
    </row>
    <row r="17" spans="1:14" ht="15" x14ac:dyDescent="0.2">
      <c r="A17" s="15">
        <v>3</v>
      </c>
      <c r="B17" s="15">
        <v>0.15</v>
      </c>
      <c r="C17" s="17">
        <v>0</v>
      </c>
      <c r="D17" s="1"/>
      <c r="E17" s="15">
        <v>3</v>
      </c>
      <c r="F17" s="17">
        <v>0.1</v>
      </c>
      <c r="G17" s="17">
        <v>0</v>
      </c>
      <c r="H17" s="1"/>
      <c r="I17" s="15">
        <v>3</v>
      </c>
      <c r="J17" s="16">
        <v>0.05</v>
      </c>
      <c r="K17" s="17">
        <v>0</v>
      </c>
      <c r="M17" s="21">
        <v>14</v>
      </c>
      <c r="N17" s="21">
        <v>30</v>
      </c>
    </row>
    <row r="18" spans="1:14" ht="15" x14ac:dyDescent="0.2">
      <c r="A18" s="15">
        <v>4</v>
      </c>
      <c r="B18" s="15">
        <v>0.25</v>
      </c>
      <c r="C18" s="17">
        <f>C17+B17</f>
        <v>0.15</v>
      </c>
      <c r="D18" s="1"/>
      <c r="E18" s="15">
        <v>4</v>
      </c>
      <c r="F18" s="17">
        <v>0.2</v>
      </c>
      <c r="G18" s="17">
        <f>G17+F17</f>
        <v>0.1</v>
      </c>
      <c r="H18" s="1"/>
      <c r="I18" s="15">
        <v>4</v>
      </c>
      <c r="J18" s="16">
        <v>0.1</v>
      </c>
      <c r="K18" s="17">
        <f>K17+J17</f>
        <v>0.05</v>
      </c>
      <c r="M18" s="21">
        <v>15</v>
      </c>
      <c r="N18" s="21">
        <v>18</v>
      </c>
    </row>
    <row r="19" spans="1:14" ht="15" x14ac:dyDescent="0.2">
      <c r="A19" s="15">
        <v>5</v>
      </c>
      <c r="B19" s="15">
        <v>0.35</v>
      </c>
      <c r="C19" s="17">
        <f>C18+B18</f>
        <v>0.4</v>
      </c>
      <c r="D19" s="1"/>
      <c r="E19" s="15">
        <v>5</v>
      </c>
      <c r="F19" s="17">
        <v>0.3</v>
      </c>
      <c r="G19" s="17">
        <f>G18+F18</f>
        <v>0.30000000000000004</v>
      </c>
      <c r="H19" s="1"/>
      <c r="I19" s="15">
        <v>5</v>
      </c>
      <c r="J19" s="16">
        <v>0.25</v>
      </c>
      <c r="K19" s="17">
        <f>K18+J18</f>
        <v>0.15000000000000002</v>
      </c>
      <c r="M19" s="21">
        <v>16</v>
      </c>
      <c r="N19" s="21">
        <v>10</v>
      </c>
    </row>
    <row r="20" spans="1:14" ht="15" x14ac:dyDescent="0.2">
      <c r="A20" s="15">
        <v>6</v>
      </c>
      <c r="B20" s="15">
        <v>0.15</v>
      </c>
      <c r="C20" s="17">
        <f t="shared" ref="C20:C22" si="0">C19+B19</f>
        <v>0.75</v>
      </c>
      <c r="D20" s="1"/>
      <c r="E20" s="15">
        <v>6</v>
      </c>
      <c r="F20" s="17">
        <v>0.25</v>
      </c>
      <c r="G20" s="17">
        <f t="shared" ref="G20:G22" si="1">G19+F19</f>
        <v>0.60000000000000009</v>
      </c>
      <c r="H20" s="1"/>
      <c r="I20" s="15">
        <v>6</v>
      </c>
      <c r="J20" s="16">
        <v>0.3</v>
      </c>
      <c r="K20" s="17">
        <f t="shared" ref="K20:K22" si="2">K19+J19</f>
        <v>0.4</v>
      </c>
      <c r="M20" s="21">
        <v>17</v>
      </c>
      <c r="N20" s="21">
        <v>18</v>
      </c>
    </row>
    <row r="21" spans="1:14" ht="15" x14ac:dyDescent="0.2">
      <c r="A21" s="15">
        <v>7</v>
      </c>
      <c r="B21" s="15">
        <v>0.05</v>
      </c>
      <c r="C21" s="17">
        <f t="shared" si="0"/>
        <v>0.9</v>
      </c>
      <c r="D21" s="1"/>
      <c r="E21" s="15">
        <v>7</v>
      </c>
      <c r="F21" s="17">
        <v>0.1</v>
      </c>
      <c r="G21" s="17">
        <f t="shared" si="1"/>
        <v>0.85000000000000009</v>
      </c>
      <c r="H21" s="1"/>
      <c r="I21" s="15">
        <v>7</v>
      </c>
      <c r="J21" s="16">
        <v>0.2</v>
      </c>
      <c r="K21" s="17">
        <f t="shared" si="2"/>
        <v>0.7</v>
      </c>
      <c r="M21" s="21">
        <v>18</v>
      </c>
      <c r="N21" s="21">
        <v>18</v>
      </c>
    </row>
    <row r="22" spans="1:14" ht="15" x14ac:dyDescent="0.2">
      <c r="A22" s="15">
        <v>8</v>
      </c>
      <c r="B22" s="15">
        <v>0.05</v>
      </c>
      <c r="C22" s="17">
        <f t="shared" si="0"/>
        <v>0.95000000000000007</v>
      </c>
      <c r="D22" s="1"/>
      <c r="E22" s="15">
        <v>8</v>
      </c>
      <c r="F22" s="17">
        <v>0.05</v>
      </c>
      <c r="G22" s="17">
        <f t="shared" si="1"/>
        <v>0.95000000000000007</v>
      </c>
      <c r="H22" s="1"/>
      <c r="I22" s="15">
        <v>8</v>
      </c>
      <c r="J22" s="16">
        <v>0.1</v>
      </c>
      <c r="K22" s="17">
        <f t="shared" si="2"/>
        <v>0.89999999999999991</v>
      </c>
      <c r="M22" s="21">
        <v>19</v>
      </c>
      <c r="N22" s="21">
        <v>20</v>
      </c>
    </row>
    <row r="23" spans="1:14" ht="15" x14ac:dyDescent="0.2">
      <c r="M23" s="21">
        <v>20</v>
      </c>
      <c r="N23" s="21">
        <v>30</v>
      </c>
    </row>
    <row r="24" spans="1:14" ht="15" x14ac:dyDescent="0.2">
      <c r="M24" s="21">
        <v>21</v>
      </c>
      <c r="N24" s="21">
        <v>20</v>
      </c>
    </row>
    <row r="25" spans="1:14" ht="15" x14ac:dyDescent="0.2">
      <c r="A25" s="13" t="s">
        <v>15</v>
      </c>
      <c r="D25" s="6" t="s">
        <v>20</v>
      </c>
      <c r="M25" s="21">
        <v>22</v>
      </c>
      <c r="N25" s="21">
        <v>30</v>
      </c>
    </row>
    <row r="26" spans="1:14" ht="15" x14ac:dyDescent="0.2">
      <c r="A26" s="12" t="s">
        <v>14</v>
      </c>
      <c r="B26" s="1" t="str">
        <f ca="1">IF(E26=1,"Lav",IF(E26=2,"Mellem","Høj"))</f>
        <v>Lav</v>
      </c>
      <c r="D26" s="2" t="s">
        <v>14</v>
      </c>
      <c r="E26">
        <f ca="1">LOOKUP(F26,F9:F11,D9:D11)</f>
        <v>1</v>
      </c>
      <c r="F26">
        <f ca="1">RAND()</f>
        <v>4.7338395840639258E-2</v>
      </c>
      <c r="M26" s="21">
        <v>23</v>
      </c>
      <c r="N26" s="21">
        <v>20</v>
      </c>
    </row>
    <row r="27" spans="1:14" ht="15" x14ac:dyDescent="0.2">
      <c r="A27" s="12" t="s">
        <v>0</v>
      </c>
      <c r="B27" s="1">
        <f ca="1">E27</f>
        <v>5</v>
      </c>
      <c r="D27" s="2" t="s">
        <v>0</v>
      </c>
      <c r="E27">
        <f ca="1">IF(B26="Lav",E30,IF(B26="Mellem",E29,E28))</f>
        <v>5</v>
      </c>
      <c r="M27" s="21">
        <v>24</v>
      </c>
      <c r="N27" s="21">
        <v>20</v>
      </c>
    </row>
    <row r="28" spans="1:14" ht="15" x14ac:dyDescent="0.2">
      <c r="A28" s="12" t="s">
        <v>16</v>
      </c>
      <c r="B28" s="1">
        <f ca="1">MIN($B$5,B27)*B8</f>
        <v>80</v>
      </c>
      <c r="D28" s="2" t="s">
        <v>21</v>
      </c>
      <c r="E28">
        <f ca="1">LOOKUP(F28,K17:K22,I17:I22)</f>
        <v>7</v>
      </c>
      <c r="F28">
        <f ca="1">RAND()</f>
        <v>0.72529666039877383</v>
      </c>
      <c r="M28" s="21">
        <v>25</v>
      </c>
      <c r="N28" s="21">
        <v>6</v>
      </c>
    </row>
    <row r="29" spans="1:14" ht="13.5" customHeight="1" x14ac:dyDescent="0.2">
      <c r="A29" s="12" t="s">
        <v>17</v>
      </c>
      <c r="B29" s="1">
        <f ca="1">MAX(0,$B$5-B27)*B10</f>
        <v>0</v>
      </c>
      <c r="D29" s="2" t="s">
        <v>22</v>
      </c>
      <c r="E29">
        <f ca="1">LOOKUP(F29,G17:G22,E17:E22)</f>
        <v>5</v>
      </c>
      <c r="F29">
        <f ca="1">RAND()</f>
        <v>0.55152183869530347</v>
      </c>
      <c r="M29" s="21">
        <v>26</v>
      </c>
      <c r="N29" s="21">
        <v>10</v>
      </c>
    </row>
    <row r="30" spans="1:14" ht="15" x14ac:dyDescent="0.2">
      <c r="A30" s="12" t="s">
        <v>18</v>
      </c>
      <c r="B30" s="1">
        <f>$B$5*B9</f>
        <v>50</v>
      </c>
      <c r="D30" s="2" t="s">
        <v>23</v>
      </c>
      <c r="E30">
        <f ca="1">LOOKUP(F30,C17:C22,A17:A22)</f>
        <v>5</v>
      </c>
      <c r="F30">
        <f ca="1">RAND()</f>
        <v>0.57181494958585632</v>
      </c>
      <c r="M30" s="21">
        <v>27</v>
      </c>
      <c r="N30" s="21">
        <v>20</v>
      </c>
    </row>
    <row r="31" spans="1:14" ht="15" x14ac:dyDescent="0.2">
      <c r="A31" s="12" t="s">
        <v>5</v>
      </c>
      <c r="B31" s="1">
        <f ca="1">MAX(0,B27-$B$5)*B11</f>
        <v>0</v>
      </c>
      <c r="M31" s="21">
        <v>28</v>
      </c>
      <c r="N31" s="21">
        <v>30</v>
      </c>
    </row>
    <row r="32" spans="1:14" ht="15" x14ac:dyDescent="0.2">
      <c r="A32" s="12" t="s">
        <v>6</v>
      </c>
      <c r="B32" s="20">
        <f ca="1">B28+B29-B30-B31</f>
        <v>30</v>
      </c>
      <c r="M32" s="21">
        <v>29</v>
      </c>
      <c r="N32" s="21">
        <v>0</v>
      </c>
    </row>
    <row r="33" spans="13:14" ht="15" x14ac:dyDescent="0.2">
      <c r="M33" s="21">
        <v>30</v>
      </c>
      <c r="N33" s="21">
        <v>18</v>
      </c>
    </row>
    <row r="34" spans="13:14" ht="15" x14ac:dyDescent="0.2">
      <c r="M34" s="21">
        <v>31</v>
      </c>
      <c r="N34" s="21">
        <v>20</v>
      </c>
    </row>
    <row r="35" spans="13:14" ht="15" x14ac:dyDescent="0.2">
      <c r="M35" s="21">
        <v>32</v>
      </c>
      <c r="N35" s="21">
        <v>10</v>
      </c>
    </row>
    <row r="36" spans="13:14" ht="15" x14ac:dyDescent="0.2">
      <c r="M36" s="21">
        <v>33</v>
      </c>
      <c r="N36" s="21">
        <v>18</v>
      </c>
    </row>
    <row r="37" spans="13:14" ht="15" x14ac:dyDescent="0.2">
      <c r="M37" s="21">
        <v>34</v>
      </c>
      <c r="N37" s="21">
        <v>20</v>
      </c>
    </row>
    <row r="38" spans="13:14" ht="15" x14ac:dyDescent="0.2">
      <c r="M38" s="21">
        <v>35</v>
      </c>
      <c r="N38" s="21">
        <v>10</v>
      </c>
    </row>
    <row r="39" spans="13:14" ht="15" x14ac:dyDescent="0.2">
      <c r="M39" s="21">
        <v>36</v>
      </c>
      <c r="N39" s="21">
        <v>10</v>
      </c>
    </row>
    <row r="40" spans="13:14" ht="15" x14ac:dyDescent="0.2">
      <c r="M40" s="21">
        <v>37</v>
      </c>
      <c r="N40" s="21">
        <v>6</v>
      </c>
    </row>
    <row r="41" spans="13:14" ht="15" x14ac:dyDescent="0.2">
      <c r="M41" s="21">
        <v>38</v>
      </c>
      <c r="N41" s="21">
        <v>18</v>
      </c>
    </row>
    <row r="42" spans="13:14" ht="15" x14ac:dyDescent="0.2">
      <c r="M42" s="21">
        <v>39</v>
      </c>
      <c r="N42" s="21">
        <v>30</v>
      </c>
    </row>
    <row r="43" spans="13:14" ht="15" x14ac:dyDescent="0.2">
      <c r="M43" s="21">
        <v>40</v>
      </c>
      <c r="N43" s="21">
        <v>30</v>
      </c>
    </row>
    <row r="44" spans="13:14" ht="15" x14ac:dyDescent="0.2">
      <c r="M44" s="21">
        <v>41</v>
      </c>
      <c r="N44" s="21">
        <v>20</v>
      </c>
    </row>
    <row r="45" spans="13:14" ht="15" x14ac:dyDescent="0.2">
      <c r="M45" s="21">
        <v>42</v>
      </c>
      <c r="N45" s="21">
        <v>30</v>
      </c>
    </row>
    <row r="46" spans="13:14" ht="15" x14ac:dyDescent="0.2">
      <c r="M46" s="21">
        <v>43</v>
      </c>
      <c r="N46" s="21">
        <v>10</v>
      </c>
    </row>
    <row r="47" spans="13:14" ht="15" x14ac:dyDescent="0.2">
      <c r="M47" s="21">
        <v>44</v>
      </c>
      <c r="N47" s="21">
        <v>20</v>
      </c>
    </row>
    <row r="48" spans="13:14" ht="15" x14ac:dyDescent="0.2">
      <c r="M48" s="21">
        <v>45</v>
      </c>
      <c r="N48" s="21">
        <v>30</v>
      </c>
    </row>
    <row r="49" spans="8:14" ht="15" x14ac:dyDescent="0.2">
      <c r="H49" s="1"/>
      <c r="I49" s="1"/>
      <c r="M49" s="21">
        <v>46</v>
      </c>
      <c r="N49" s="21">
        <v>20</v>
      </c>
    </row>
    <row r="50" spans="8:14" ht="15" x14ac:dyDescent="0.2">
      <c r="M50" s="21">
        <v>47</v>
      </c>
      <c r="N50" s="21">
        <v>30</v>
      </c>
    </row>
    <row r="51" spans="8:14" ht="15" x14ac:dyDescent="0.2">
      <c r="M51" s="21">
        <v>48</v>
      </c>
      <c r="N51" s="21">
        <v>20</v>
      </c>
    </row>
    <row r="52" spans="8:14" ht="15" x14ac:dyDescent="0.2">
      <c r="M52" s="21">
        <v>49</v>
      </c>
      <c r="N52" s="21">
        <v>30</v>
      </c>
    </row>
    <row r="53" spans="8:14" ht="15" x14ac:dyDescent="0.2">
      <c r="M53" s="21">
        <v>50</v>
      </c>
      <c r="N53" s="21">
        <v>18</v>
      </c>
    </row>
    <row r="54" spans="8:14" ht="15" x14ac:dyDescent="0.2">
      <c r="M54" s="21">
        <v>51</v>
      </c>
      <c r="N54" s="21">
        <v>18</v>
      </c>
    </row>
    <row r="55" spans="8:14" ht="15" x14ac:dyDescent="0.2">
      <c r="M55" s="21">
        <v>52</v>
      </c>
      <c r="N55" s="21">
        <v>0</v>
      </c>
    </row>
    <row r="56" spans="8:14" ht="15" x14ac:dyDescent="0.2">
      <c r="M56" s="21">
        <v>53</v>
      </c>
      <c r="N56" s="21">
        <v>20</v>
      </c>
    </row>
    <row r="57" spans="8:14" ht="15" x14ac:dyDescent="0.2">
      <c r="M57" s="21">
        <v>54</v>
      </c>
      <c r="N57" s="21">
        <v>0</v>
      </c>
    </row>
    <row r="58" spans="8:14" ht="15" x14ac:dyDescent="0.2">
      <c r="M58" s="21">
        <v>55</v>
      </c>
      <c r="N58" s="21">
        <v>10</v>
      </c>
    </row>
    <row r="59" spans="8:14" ht="15" x14ac:dyDescent="0.2">
      <c r="M59" s="21">
        <v>56</v>
      </c>
      <c r="N59" s="21">
        <v>20</v>
      </c>
    </row>
    <row r="60" spans="8:14" ht="15" x14ac:dyDescent="0.2">
      <c r="M60" s="21">
        <v>57</v>
      </c>
      <c r="N60" s="21">
        <v>18</v>
      </c>
    </row>
    <row r="61" spans="8:14" ht="15" x14ac:dyDescent="0.2">
      <c r="M61" s="21">
        <v>58</v>
      </c>
      <c r="N61" s="21">
        <v>0</v>
      </c>
    </row>
    <row r="62" spans="8:14" ht="15" x14ac:dyDescent="0.2">
      <c r="M62" s="21">
        <v>59</v>
      </c>
      <c r="N62" s="21">
        <v>18</v>
      </c>
    </row>
    <row r="63" spans="8:14" ht="15" x14ac:dyDescent="0.2">
      <c r="M63" s="21">
        <v>60</v>
      </c>
      <c r="N63" s="21">
        <v>10</v>
      </c>
    </row>
    <row r="64" spans="8:14" ht="15" x14ac:dyDescent="0.2">
      <c r="M64" s="21">
        <v>61</v>
      </c>
      <c r="N64" s="21">
        <v>6</v>
      </c>
    </row>
    <row r="65" spans="13:14" ht="15" x14ac:dyDescent="0.2">
      <c r="M65" s="21">
        <v>62</v>
      </c>
      <c r="N65" s="21">
        <v>18</v>
      </c>
    </row>
    <row r="66" spans="13:14" ht="15" x14ac:dyDescent="0.2">
      <c r="M66" s="21">
        <v>63</v>
      </c>
      <c r="N66" s="21">
        <v>6</v>
      </c>
    </row>
    <row r="67" spans="13:14" ht="15" x14ac:dyDescent="0.2">
      <c r="M67" s="21">
        <v>64</v>
      </c>
      <c r="N67" s="21">
        <v>30</v>
      </c>
    </row>
    <row r="68" spans="13:14" ht="15" x14ac:dyDescent="0.2">
      <c r="M68" s="21">
        <v>65</v>
      </c>
      <c r="N68" s="21">
        <v>30</v>
      </c>
    </row>
    <row r="69" spans="13:14" ht="15" x14ac:dyDescent="0.2">
      <c r="M69" s="21">
        <v>66</v>
      </c>
      <c r="N69" s="21">
        <v>6</v>
      </c>
    </row>
    <row r="70" spans="13:14" ht="15" x14ac:dyDescent="0.2">
      <c r="M70" s="21">
        <v>67</v>
      </c>
      <c r="N70" s="21">
        <v>10</v>
      </c>
    </row>
    <row r="71" spans="13:14" ht="15" x14ac:dyDescent="0.2">
      <c r="M71" s="21">
        <v>68</v>
      </c>
      <c r="N71" s="21">
        <v>18</v>
      </c>
    </row>
    <row r="72" spans="13:14" ht="15" x14ac:dyDescent="0.2">
      <c r="M72" s="21">
        <v>69</v>
      </c>
      <c r="N72" s="21">
        <v>20</v>
      </c>
    </row>
    <row r="73" spans="13:14" ht="15" x14ac:dyDescent="0.2">
      <c r="M73" s="21">
        <v>70</v>
      </c>
      <c r="N73" s="21">
        <v>30</v>
      </c>
    </row>
    <row r="74" spans="13:14" ht="15" x14ac:dyDescent="0.2">
      <c r="M74" s="21">
        <v>71</v>
      </c>
      <c r="N74" s="21">
        <v>10</v>
      </c>
    </row>
    <row r="75" spans="13:14" ht="15" x14ac:dyDescent="0.2">
      <c r="M75" s="21">
        <v>72</v>
      </c>
      <c r="N75" s="21">
        <v>18</v>
      </c>
    </row>
    <row r="76" spans="13:14" ht="15" x14ac:dyDescent="0.2">
      <c r="M76" s="21">
        <v>73</v>
      </c>
      <c r="N76" s="21">
        <v>30</v>
      </c>
    </row>
    <row r="77" spans="13:14" ht="15" x14ac:dyDescent="0.2">
      <c r="M77" s="21">
        <v>74</v>
      </c>
      <c r="N77" s="21">
        <v>6</v>
      </c>
    </row>
    <row r="78" spans="13:14" ht="15" x14ac:dyDescent="0.2">
      <c r="M78" s="21">
        <v>75</v>
      </c>
      <c r="N78" s="21">
        <v>6</v>
      </c>
    </row>
    <row r="79" spans="13:14" ht="15" x14ac:dyDescent="0.2">
      <c r="M79" s="21">
        <v>76</v>
      </c>
      <c r="N79" s="21">
        <v>20</v>
      </c>
    </row>
    <row r="80" spans="13:14" ht="15" x14ac:dyDescent="0.2">
      <c r="M80" s="21">
        <v>77</v>
      </c>
      <c r="N80" s="21">
        <v>6</v>
      </c>
    </row>
    <row r="81" spans="13:14" ht="15" x14ac:dyDescent="0.2">
      <c r="M81" s="21">
        <v>78</v>
      </c>
      <c r="N81" s="21">
        <v>30</v>
      </c>
    </row>
    <row r="82" spans="13:14" ht="15" x14ac:dyDescent="0.2">
      <c r="M82" s="21">
        <v>79</v>
      </c>
      <c r="N82" s="21">
        <v>6</v>
      </c>
    </row>
    <row r="83" spans="13:14" ht="15" x14ac:dyDescent="0.2">
      <c r="M83" s="21">
        <v>80</v>
      </c>
      <c r="N83" s="21">
        <v>0</v>
      </c>
    </row>
    <row r="84" spans="13:14" ht="15" x14ac:dyDescent="0.2">
      <c r="M84" s="21">
        <v>81</v>
      </c>
      <c r="N84" s="21">
        <v>18</v>
      </c>
    </row>
    <row r="85" spans="13:14" ht="15" x14ac:dyDescent="0.2">
      <c r="M85" s="21">
        <v>82</v>
      </c>
      <c r="N85" s="21">
        <v>0</v>
      </c>
    </row>
    <row r="86" spans="13:14" ht="15" x14ac:dyDescent="0.2">
      <c r="M86" s="21">
        <v>83</v>
      </c>
      <c r="N86" s="21">
        <v>20</v>
      </c>
    </row>
    <row r="87" spans="13:14" ht="15" x14ac:dyDescent="0.2">
      <c r="M87" s="21">
        <v>84</v>
      </c>
      <c r="N87" s="21">
        <v>18</v>
      </c>
    </row>
    <row r="88" spans="13:14" ht="15" x14ac:dyDescent="0.2">
      <c r="M88" s="21">
        <v>85</v>
      </c>
      <c r="N88" s="21">
        <v>20</v>
      </c>
    </row>
    <row r="89" spans="13:14" ht="15" x14ac:dyDescent="0.2">
      <c r="M89" s="21">
        <v>86</v>
      </c>
      <c r="N89" s="21">
        <v>30</v>
      </c>
    </row>
    <row r="90" spans="13:14" ht="15" x14ac:dyDescent="0.2">
      <c r="M90" s="21">
        <v>87</v>
      </c>
      <c r="N90" s="21">
        <v>30</v>
      </c>
    </row>
    <row r="91" spans="13:14" ht="15" x14ac:dyDescent="0.2">
      <c r="M91" s="21">
        <v>88</v>
      </c>
      <c r="N91" s="21">
        <v>30</v>
      </c>
    </row>
    <row r="92" spans="13:14" ht="15" x14ac:dyDescent="0.2">
      <c r="M92" s="21">
        <v>89</v>
      </c>
      <c r="N92" s="21">
        <v>10</v>
      </c>
    </row>
    <row r="93" spans="13:14" ht="15" x14ac:dyDescent="0.2">
      <c r="M93" s="21">
        <v>90</v>
      </c>
      <c r="N93" s="21">
        <v>30</v>
      </c>
    </row>
    <row r="94" spans="13:14" ht="15" x14ac:dyDescent="0.2">
      <c r="M94" s="21">
        <v>91</v>
      </c>
      <c r="N94" s="21">
        <v>0</v>
      </c>
    </row>
    <row r="95" spans="13:14" ht="15" x14ac:dyDescent="0.2">
      <c r="M95" s="21">
        <v>92</v>
      </c>
      <c r="N95" s="21">
        <v>30</v>
      </c>
    </row>
    <row r="96" spans="13:14" ht="15" x14ac:dyDescent="0.2">
      <c r="M96" s="21">
        <v>93</v>
      </c>
      <c r="N96" s="21">
        <v>6</v>
      </c>
    </row>
    <row r="97" spans="13:14" ht="15" x14ac:dyDescent="0.2">
      <c r="M97" s="21">
        <v>94</v>
      </c>
      <c r="N97" s="21">
        <v>20</v>
      </c>
    </row>
    <row r="98" spans="13:14" ht="15" x14ac:dyDescent="0.2">
      <c r="M98" s="21">
        <v>95</v>
      </c>
      <c r="N98" s="21">
        <v>10</v>
      </c>
    </row>
    <row r="99" spans="13:14" ht="15" x14ac:dyDescent="0.2">
      <c r="M99" s="21">
        <v>96</v>
      </c>
      <c r="N99" s="21">
        <v>30</v>
      </c>
    </row>
    <row r="100" spans="13:14" ht="15" x14ac:dyDescent="0.2">
      <c r="M100" s="21">
        <v>97</v>
      </c>
      <c r="N100" s="21">
        <v>18</v>
      </c>
    </row>
    <row r="101" spans="13:14" ht="15" x14ac:dyDescent="0.2">
      <c r="M101" s="21">
        <v>98</v>
      </c>
      <c r="N101" s="21">
        <v>20</v>
      </c>
    </row>
    <row r="102" spans="13:14" ht="15" x14ac:dyDescent="0.2">
      <c r="M102" s="21">
        <v>99</v>
      </c>
      <c r="N102" s="21">
        <v>30</v>
      </c>
    </row>
    <row r="103" spans="13:14" ht="15" x14ac:dyDescent="0.2">
      <c r="M103" s="21">
        <v>100</v>
      </c>
      <c r="N103" s="21">
        <v>10</v>
      </c>
    </row>
    <row r="104" spans="13:14" ht="15" x14ac:dyDescent="0.2">
      <c r="M104" s="21">
        <v>101</v>
      </c>
      <c r="N104" s="21">
        <v>20</v>
      </c>
    </row>
    <row r="105" spans="13:14" ht="15" x14ac:dyDescent="0.2">
      <c r="M105" s="21">
        <v>102</v>
      </c>
      <c r="N105" s="21">
        <v>0</v>
      </c>
    </row>
    <row r="106" spans="13:14" ht="15" x14ac:dyDescent="0.2">
      <c r="M106" s="21">
        <v>103</v>
      </c>
      <c r="N106" s="21">
        <v>30</v>
      </c>
    </row>
    <row r="107" spans="13:14" ht="15" x14ac:dyDescent="0.2">
      <c r="M107" s="21">
        <v>104</v>
      </c>
      <c r="N107" s="21">
        <v>30</v>
      </c>
    </row>
    <row r="108" spans="13:14" ht="15" x14ac:dyDescent="0.2">
      <c r="M108" s="21">
        <v>105</v>
      </c>
      <c r="N108" s="21">
        <v>30</v>
      </c>
    </row>
    <row r="109" spans="13:14" ht="15" x14ac:dyDescent="0.2">
      <c r="M109" s="21">
        <v>106</v>
      </c>
      <c r="N109" s="21">
        <v>18</v>
      </c>
    </row>
    <row r="110" spans="13:14" ht="15" x14ac:dyDescent="0.2">
      <c r="M110" s="21">
        <v>107</v>
      </c>
      <c r="N110" s="21">
        <v>0</v>
      </c>
    </row>
    <row r="111" spans="13:14" ht="15" x14ac:dyDescent="0.2">
      <c r="M111" s="21">
        <v>108</v>
      </c>
      <c r="N111" s="21">
        <v>18</v>
      </c>
    </row>
    <row r="112" spans="13:14" ht="15" x14ac:dyDescent="0.2">
      <c r="M112" s="21">
        <v>109</v>
      </c>
      <c r="N112" s="21">
        <v>10</v>
      </c>
    </row>
    <row r="113" spans="13:14" ht="15" x14ac:dyDescent="0.2">
      <c r="M113" s="21">
        <v>110</v>
      </c>
      <c r="N113" s="21">
        <v>20</v>
      </c>
    </row>
    <row r="114" spans="13:14" ht="15" x14ac:dyDescent="0.2">
      <c r="M114" s="21">
        <v>111</v>
      </c>
      <c r="N114" s="21">
        <v>10</v>
      </c>
    </row>
    <row r="115" spans="13:14" ht="15" x14ac:dyDescent="0.2">
      <c r="M115" s="21">
        <v>112</v>
      </c>
      <c r="N115" s="21">
        <v>20</v>
      </c>
    </row>
    <row r="116" spans="13:14" ht="15" x14ac:dyDescent="0.2">
      <c r="M116" s="21">
        <v>113</v>
      </c>
      <c r="N116" s="21">
        <v>18</v>
      </c>
    </row>
    <row r="117" spans="13:14" ht="15" x14ac:dyDescent="0.2">
      <c r="M117" s="21">
        <v>114</v>
      </c>
      <c r="N117" s="21">
        <v>20</v>
      </c>
    </row>
    <row r="118" spans="13:14" ht="15" x14ac:dyDescent="0.2">
      <c r="M118" s="21">
        <v>115</v>
      </c>
      <c r="N118" s="21">
        <v>0</v>
      </c>
    </row>
    <row r="119" spans="13:14" ht="15" x14ac:dyDescent="0.2">
      <c r="M119" s="21">
        <v>116</v>
      </c>
      <c r="N119" s="21">
        <v>30</v>
      </c>
    </row>
    <row r="120" spans="13:14" ht="15" x14ac:dyDescent="0.2">
      <c r="M120" s="21">
        <v>117</v>
      </c>
      <c r="N120" s="21">
        <v>10</v>
      </c>
    </row>
    <row r="121" spans="13:14" ht="15" x14ac:dyDescent="0.2">
      <c r="M121" s="21">
        <v>118</v>
      </c>
      <c r="N121" s="21">
        <v>30</v>
      </c>
    </row>
    <row r="122" spans="13:14" ht="15" x14ac:dyDescent="0.2">
      <c r="M122" s="21">
        <v>119</v>
      </c>
      <c r="N122" s="21">
        <v>30</v>
      </c>
    </row>
    <row r="123" spans="13:14" ht="15" x14ac:dyDescent="0.2">
      <c r="M123" s="21">
        <v>120</v>
      </c>
      <c r="N123" s="21">
        <v>6</v>
      </c>
    </row>
    <row r="124" spans="13:14" ht="15" x14ac:dyDescent="0.2">
      <c r="M124" s="21">
        <v>121</v>
      </c>
      <c r="N124" s="21">
        <v>20</v>
      </c>
    </row>
    <row r="125" spans="13:14" ht="15" x14ac:dyDescent="0.2">
      <c r="M125" s="21">
        <v>122</v>
      </c>
      <c r="N125" s="21">
        <v>30</v>
      </c>
    </row>
    <row r="126" spans="13:14" ht="15" x14ac:dyDescent="0.2">
      <c r="M126" s="21">
        <v>123</v>
      </c>
      <c r="N126" s="21">
        <v>20</v>
      </c>
    </row>
    <row r="127" spans="13:14" ht="15" x14ac:dyDescent="0.2">
      <c r="M127" s="21">
        <v>124</v>
      </c>
      <c r="N127" s="21">
        <v>30</v>
      </c>
    </row>
    <row r="128" spans="13:14" ht="15" x14ac:dyDescent="0.2">
      <c r="M128" s="21">
        <v>125</v>
      </c>
      <c r="N128" s="21">
        <v>6</v>
      </c>
    </row>
    <row r="129" spans="13:14" ht="15" x14ac:dyDescent="0.2">
      <c r="M129" s="21">
        <v>126</v>
      </c>
      <c r="N129" s="21">
        <v>30</v>
      </c>
    </row>
    <row r="130" spans="13:14" ht="15" x14ac:dyDescent="0.2">
      <c r="M130" s="21">
        <v>127</v>
      </c>
      <c r="N130" s="21">
        <v>6</v>
      </c>
    </row>
    <row r="131" spans="13:14" ht="15" x14ac:dyDescent="0.2">
      <c r="M131" s="21">
        <v>128</v>
      </c>
      <c r="N131" s="21">
        <v>18</v>
      </c>
    </row>
    <row r="132" spans="13:14" ht="15" x14ac:dyDescent="0.2">
      <c r="M132" s="21">
        <v>129</v>
      </c>
      <c r="N132" s="21">
        <v>30</v>
      </c>
    </row>
    <row r="133" spans="13:14" ht="15" x14ac:dyDescent="0.2">
      <c r="M133" s="21">
        <v>130</v>
      </c>
      <c r="N133" s="21">
        <v>18</v>
      </c>
    </row>
    <row r="134" spans="13:14" ht="15" x14ac:dyDescent="0.2">
      <c r="M134" s="21">
        <v>131</v>
      </c>
      <c r="N134" s="21">
        <v>18</v>
      </c>
    </row>
    <row r="135" spans="13:14" ht="15" x14ac:dyDescent="0.2">
      <c r="M135" s="21">
        <v>132</v>
      </c>
      <c r="N135" s="21">
        <v>30</v>
      </c>
    </row>
    <row r="136" spans="13:14" ht="15" x14ac:dyDescent="0.2">
      <c r="M136" s="21">
        <v>133</v>
      </c>
      <c r="N136" s="21">
        <v>10</v>
      </c>
    </row>
    <row r="137" spans="13:14" ht="15" x14ac:dyDescent="0.2">
      <c r="M137" s="21">
        <v>134</v>
      </c>
      <c r="N137" s="21">
        <v>30</v>
      </c>
    </row>
    <row r="138" spans="13:14" ht="15" x14ac:dyDescent="0.2">
      <c r="M138" s="21">
        <v>135</v>
      </c>
      <c r="N138" s="21">
        <v>18</v>
      </c>
    </row>
    <row r="139" spans="13:14" ht="15" x14ac:dyDescent="0.2">
      <c r="M139" s="21">
        <v>136</v>
      </c>
      <c r="N139" s="21">
        <v>6</v>
      </c>
    </row>
    <row r="140" spans="13:14" ht="15" x14ac:dyDescent="0.2">
      <c r="M140" s="21">
        <v>137</v>
      </c>
      <c r="N140" s="21">
        <v>6</v>
      </c>
    </row>
    <row r="141" spans="13:14" ht="15" x14ac:dyDescent="0.2">
      <c r="M141" s="21">
        <v>138</v>
      </c>
      <c r="N141" s="21">
        <v>30</v>
      </c>
    </row>
    <row r="142" spans="13:14" ht="15" x14ac:dyDescent="0.2">
      <c r="M142" s="21">
        <v>139</v>
      </c>
      <c r="N142" s="21">
        <v>20</v>
      </c>
    </row>
    <row r="143" spans="13:14" ht="15" x14ac:dyDescent="0.2">
      <c r="M143" s="21">
        <v>140</v>
      </c>
      <c r="N143" s="21">
        <v>18</v>
      </c>
    </row>
    <row r="144" spans="13:14" ht="15" x14ac:dyDescent="0.2">
      <c r="M144" s="21">
        <v>141</v>
      </c>
      <c r="N144" s="21">
        <v>20</v>
      </c>
    </row>
    <row r="145" spans="13:14" ht="15" x14ac:dyDescent="0.2">
      <c r="M145" s="21">
        <v>142</v>
      </c>
      <c r="N145" s="21">
        <v>20</v>
      </c>
    </row>
    <row r="146" spans="13:14" ht="15" x14ac:dyDescent="0.2">
      <c r="M146" s="21">
        <v>143</v>
      </c>
      <c r="N146" s="21">
        <v>6</v>
      </c>
    </row>
    <row r="147" spans="13:14" ht="15" x14ac:dyDescent="0.2">
      <c r="M147" s="21">
        <v>144</v>
      </c>
      <c r="N147" s="21">
        <v>18</v>
      </c>
    </row>
    <row r="148" spans="13:14" ht="15" x14ac:dyDescent="0.2">
      <c r="M148" s="21">
        <v>145</v>
      </c>
      <c r="N148" s="21">
        <v>30</v>
      </c>
    </row>
    <row r="149" spans="13:14" ht="15" x14ac:dyDescent="0.2">
      <c r="M149" s="21">
        <v>146</v>
      </c>
      <c r="N149" s="21">
        <v>10</v>
      </c>
    </row>
    <row r="150" spans="13:14" ht="15" x14ac:dyDescent="0.2">
      <c r="M150" s="21">
        <v>147</v>
      </c>
      <c r="N150" s="21">
        <v>10</v>
      </c>
    </row>
    <row r="151" spans="13:14" ht="15" x14ac:dyDescent="0.2">
      <c r="M151" s="21">
        <v>148</v>
      </c>
      <c r="N151" s="21">
        <v>30</v>
      </c>
    </row>
    <row r="152" spans="13:14" ht="15" x14ac:dyDescent="0.2">
      <c r="M152" s="21">
        <v>149</v>
      </c>
      <c r="N152" s="21">
        <v>20</v>
      </c>
    </row>
    <row r="153" spans="13:14" ht="15" x14ac:dyDescent="0.2">
      <c r="M153" s="21">
        <v>150</v>
      </c>
      <c r="N153" s="21">
        <v>10</v>
      </c>
    </row>
    <row r="154" spans="13:14" ht="15" x14ac:dyDescent="0.2">
      <c r="M154" s="21">
        <v>151</v>
      </c>
      <c r="N154" s="21">
        <v>10</v>
      </c>
    </row>
    <row r="155" spans="13:14" ht="15" x14ac:dyDescent="0.2">
      <c r="M155" s="21">
        <v>152</v>
      </c>
      <c r="N155" s="21">
        <v>30</v>
      </c>
    </row>
    <row r="156" spans="13:14" ht="15" x14ac:dyDescent="0.2">
      <c r="M156" s="21">
        <v>153</v>
      </c>
      <c r="N156" s="21">
        <v>20</v>
      </c>
    </row>
    <row r="157" spans="13:14" ht="15" x14ac:dyDescent="0.2">
      <c r="M157" s="21">
        <v>154</v>
      </c>
      <c r="N157" s="21">
        <v>20</v>
      </c>
    </row>
    <row r="158" spans="13:14" ht="15" x14ac:dyDescent="0.2">
      <c r="M158" s="21">
        <v>155</v>
      </c>
      <c r="N158" s="21">
        <v>30</v>
      </c>
    </row>
    <row r="159" spans="13:14" ht="15" x14ac:dyDescent="0.2">
      <c r="M159" s="21">
        <v>156</v>
      </c>
      <c r="N159" s="21">
        <v>18</v>
      </c>
    </row>
    <row r="160" spans="13:14" ht="15" x14ac:dyDescent="0.2">
      <c r="M160" s="21">
        <v>157</v>
      </c>
      <c r="N160" s="21">
        <v>18</v>
      </c>
    </row>
    <row r="161" spans="13:14" ht="15" x14ac:dyDescent="0.2">
      <c r="M161" s="21">
        <v>158</v>
      </c>
      <c r="N161" s="21">
        <v>18</v>
      </c>
    </row>
    <row r="162" spans="13:14" ht="15" x14ac:dyDescent="0.2">
      <c r="M162" s="21">
        <v>159</v>
      </c>
      <c r="N162" s="21">
        <v>20</v>
      </c>
    </row>
    <row r="163" spans="13:14" ht="15" x14ac:dyDescent="0.2">
      <c r="M163" s="21">
        <v>160</v>
      </c>
      <c r="N163" s="21">
        <v>10</v>
      </c>
    </row>
    <row r="164" spans="13:14" ht="15" x14ac:dyDescent="0.2">
      <c r="M164" s="21">
        <v>161</v>
      </c>
      <c r="N164" s="21">
        <v>18</v>
      </c>
    </row>
    <row r="165" spans="13:14" ht="15" x14ac:dyDescent="0.2">
      <c r="M165" s="21">
        <v>162</v>
      </c>
      <c r="N165" s="21">
        <v>10</v>
      </c>
    </row>
    <row r="166" spans="13:14" ht="15" x14ac:dyDescent="0.2">
      <c r="M166" s="21">
        <v>163</v>
      </c>
      <c r="N166" s="21">
        <v>6</v>
      </c>
    </row>
    <row r="167" spans="13:14" ht="15" x14ac:dyDescent="0.2">
      <c r="M167" s="21">
        <v>164</v>
      </c>
      <c r="N167" s="21">
        <v>10</v>
      </c>
    </row>
    <row r="168" spans="13:14" ht="15" x14ac:dyDescent="0.2">
      <c r="M168" s="21">
        <v>165</v>
      </c>
      <c r="N168" s="21">
        <v>30</v>
      </c>
    </row>
    <row r="169" spans="13:14" ht="15" x14ac:dyDescent="0.2">
      <c r="M169" s="21">
        <v>166</v>
      </c>
      <c r="N169" s="21">
        <v>20</v>
      </c>
    </row>
    <row r="170" spans="13:14" ht="15" x14ac:dyDescent="0.2">
      <c r="M170" s="21">
        <v>167</v>
      </c>
      <c r="N170" s="21">
        <v>10</v>
      </c>
    </row>
    <row r="171" spans="13:14" ht="15" x14ac:dyDescent="0.2">
      <c r="M171" s="21">
        <v>168</v>
      </c>
      <c r="N171" s="21">
        <v>10</v>
      </c>
    </row>
    <row r="172" spans="13:14" ht="15" x14ac:dyDescent="0.2">
      <c r="M172" s="21">
        <v>169</v>
      </c>
      <c r="N172" s="21">
        <v>20</v>
      </c>
    </row>
    <row r="173" spans="13:14" ht="15" x14ac:dyDescent="0.2">
      <c r="M173" s="21">
        <v>170</v>
      </c>
      <c r="N173" s="21">
        <v>30</v>
      </c>
    </row>
    <row r="174" spans="13:14" ht="15" x14ac:dyDescent="0.2">
      <c r="M174" s="21">
        <v>171</v>
      </c>
      <c r="N174" s="21">
        <v>10</v>
      </c>
    </row>
    <row r="175" spans="13:14" ht="15" x14ac:dyDescent="0.2">
      <c r="M175" s="21">
        <v>172</v>
      </c>
      <c r="N175" s="21">
        <v>18</v>
      </c>
    </row>
    <row r="176" spans="13:14" ht="15" x14ac:dyDescent="0.2">
      <c r="M176" s="21">
        <v>173</v>
      </c>
      <c r="N176" s="21">
        <v>30</v>
      </c>
    </row>
    <row r="177" spans="13:14" ht="15" x14ac:dyDescent="0.2">
      <c r="M177" s="21">
        <v>174</v>
      </c>
      <c r="N177" s="21">
        <v>30</v>
      </c>
    </row>
    <row r="178" spans="13:14" ht="15" x14ac:dyDescent="0.2">
      <c r="M178" s="21">
        <v>175</v>
      </c>
      <c r="N178" s="21">
        <v>6</v>
      </c>
    </row>
    <row r="179" spans="13:14" ht="15" x14ac:dyDescent="0.2">
      <c r="M179" s="21">
        <v>176</v>
      </c>
      <c r="N179" s="21">
        <v>18</v>
      </c>
    </row>
    <row r="180" spans="13:14" ht="15" x14ac:dyDescent="0.2">
      <c r="M180" s="21">
        <v>177</v>
      </c>
      <c r="N180" s="21">
        <v>18</v>
      </c>
    </row>
    <row r="181" spans="13:14" ht="15" x14ac:dyDescent="0.2">
      <c r="M181" s="21">
        <v>178</v>
      </c>
      <c r="N181" s="21">
        <v>30</v>
      </c>
    </row>
    <row r="182" spans="13:14" ht="15" x14ac:dyDescent="0.2">
      <c r="M182" s="21">
        <v>179</v>
      </c>
      <c r="N182" s="21">
        <v>18</v>
      </c>
    </row>
    <row r="183" spans="13:14" ht="15" x14ac:dyDescent="0.2">
      <c r="M183" s="21">
        <v>180</v>
      </c>
      <c r="N183" s="21">
        <v>20</v>
      </c>
    </row>
    <row r="184" spans="13:14" ht="15" x14ac:dyDescent="0.2">
      <c r="M184" s="21">
        <v>181</v>
      </c>
      <c r="N184" s="21">
        <v>18</v>
      </c>
    </row>
    <row r="185" spans="13:14" ht="15" x14ac:dyDescent="0.2">
      <c r="M185" s="21">
        <v>182</v>
      </c>
      <c r="N185" s="21">
        <v>30</v>
      </c>
    </row>
    <row r="186" spans="13:14" ht="15" x14ac:dyDescent="0.2">
      <c r="M186" s="21">
        <v>183</v>
      </c>
      <c r="N186" s="21">
        <v>30</v>
      </c>
    </row>
    <row r="187" spans="13:14" ht="15" x14ac:dyDescent="0.2">
      <c r="M187" s="21">
        <v>184</v>
      </c>
      <c r="N187" s="21">
        <v>30</v>
      </c>
    </row>
    <row r="188" spans="13:14" ht="15" x14ac:dyDescent="0.2">
      <c r="M188" s="21">
        <v>185</v>
      </c>
      <c r="N188" s="21">
        <v>6</v>
      </c>
    </row>
    <row r="189" spans="13:14" ht="15" x14ac:dyDescent="0.2">
      <c r="M189" s="21">
        <v>186</v>
      </c>
      <c r="N189" s="21">
        <v>30</v>
      </c>
    </row>
    <row r="190" spans="13:14" ht="15" x14ac:dyDescent="0.2">
      <c r="M190" s="21">
        <v>187</v>
      </c>
      <c r="N190" s="21">
        <v>20</v>
      </c>
    </row>
    <row r="191" spans="13:14" ht="15" x14ac:dyDescent="0.2">
      <c r="M191" s="21">
        <v>188</v>
      </c>
      <c r="N191" s="21">
        <v>30</v>
      </c>
    </row>
    <row r="192" spans="13:14" ht="15" x14ac:dyDescent="0.2">
      <c r="M192" s="21">
        <v>189</v>
      </c>
      <c r="N192" s="21">
        <v>20</v>
      </c>
    </row>
    <row r="193" spans="13:14" ht="15" x14ac:dyDescent="0.2">
      <c r="M193" s="21">
        <v>190</v>
      </c>
      <c r="N193" s="21">
        <v>6</v>
      </c>
    </row>
    <row r="194" spans="13:14" ht="15" x14ac:dyDescent="0.2">
      <c r="M194" s="21">
        <v>191</v>
      </c>
      <c r="N194" s="21">
        <v>30</v>
      </c>
    </row>
    <row r="195" spans="13:14" ht="15" x14ac:dyDescent="0.2">
      <c r="M195" s="21">
        <v>192</v>
      </c>
      <c r="N195" s="21">
        <v>30</v>
      </c>
    </row>
    <row r="196" spans="13:14" ht="15" x14ac:dyDescent="0.2">
      <c r="M196" s="21">
        <v>193</v>
      </c>
      <c r="N196" s="21">
        <v>18</v>
      </c>
    </row>
    <row r="197" spans="13:14" ht="15" x14ac:dyDescent="0.2">
      <c r="M197" s="21">
        <v>194</v>
      </c>
      <c r="N197" s="21">
        <v>20</v>
      </c>
    </row>
    <row r="198" spans="13:14" ht="15" x14ac:dyDescent="0.2">
      <c r="M198" s="21">
        <v>195</v>
      </c>
      <c r="N198" s="21">
        <v>30</v>
      </c>
    </row>
    <row r="199" spans="13:14" ht="15" x14ac:dyDescent="0.2">
      <c r="M199" s="21">
        <v>196</v>
      </c>
      <c r="N199" s="21">
        <v>20</v>
      </c>
    </row>
    <row r="200" spans="13:14" ht="15" x14ac:dyDescent="0.2">
      <c r="M200" s="21">
        <v>197</v>
      </c>
      <c r="N200" s="21">
        <v>10</v>
      </c>
    </row>
    <row r="201" spans="13:14" ht="15" x14ac:dyDescent="0.2">
      <c r="M201" s="21">
        <v>198</v>
      </c>
      <c r="N201" s="21">
        <v>20</v>
      </c>
    </row>
    <row r="202" spans="13:14" ht="15" x14ac:dyDescent="0.2">
      <c r="M202" s="21">
        <v>199</v>
      </c>
      <c r="N202" s="21">
        <v>20</v>
      </c>
    </row>
    <row r="203" spans="13:14" ht="15" x14ac:dyDescent="0.2">
      <c r="M203" s="21">
        <v>200</v>
      </c>
      <c r="N203" s="21">
        <v>6</v>
      </c>
    </row>
  </sheetData>
  <mergeCells count="1">
    <mergeCell ref="A15:B15"/>
  </mergeCells>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determenistisk</vt:lpstr>
      <vt:lpstr>sim m excel (loopup fkt)</vt:lpstr>
      <vt:lpstr>sim m excel (if fkt)</vt:lpstr>
      <vt:lpstr>sim m excel (200 førsøg)</vt:lpstr>
    </vt:vector>
  </TitlesOfParts>
  <Company>Aarhus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Allan Andersen</dc:creator>
  <cp:lastModifiedBy>Microsoft Office User</cp:lastModifiedBy>
  <dcterms:created xsi:type="dcterms:W3CDTF">2007-12-04T12:52:26Z</dcterms:created>
  <dcterms:modified xsi:type="dcterms:W3CDTF">2021-09-10T07:45:59Z</dcterms:modified>
</cp:coreProperties>
</file>