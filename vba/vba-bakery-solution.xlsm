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5EEB4B4B-0942-EC4F-8888-8B9B5FA1ED7B}" xr6:coauthVersionLast="47" xr6:coauthVersionMax="47" xr10:uidLastSave="{00000000-0000-0000-0000-000000000000}"/>
  <bookViews>
    <workbookView xWindow="0" yWindow="460" windowWidth="25600" windowHeight="28340" xr2:uid="{1585B6C8-9C2F-9044-AB5E-383696BE2EEF}"/>
  </bookViews>
  <sheets>
    <sheet name="Main" sheetId="1" r:id="rId1"/>
    <sheet name="Simulation" sheetId="2" r:id="rId2"/>
    <sheet name="SimulationEx" sheetId="4" r:id="rId3"/>
    <sheet name="OptimalProd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3" l="1"/>
  <c r="G15" i="3"/>
  <c r="G13" i="3"/>
  <c r="G14" i="3"/>
  <c r="G3" i="3"/>
  <c r="G4" i="3"/>
  <c r="C15" i="1"/>
  <c r="B15" i="1"/>
  <c r="B16" i="1"/>
  <c r="C16" i="1" s="1"/>
  <c r="B14" i="1"/>
  <c r="G11" i="3"/>
  <c r="G9" i="3"/>
  <c r="G5" i="3"/>
  <c r="G6" i="3"/>
  <c r="G7" i="3"/>
  <c r="C14" i="1" l="1"/>
  <c r="C17" i="1" s="1"/>
</calcChain>
</file>

<file path=xl/sharedStrings.xml><?xml version="1.0" encoding="utf-8"?>
<sst xmlns="http://schemas.openxmlformats.org/spreadsheetml/2006/main" count="52" uniqueCount="35">
  <si>
    <t>Dan's bakery</t>
  </si>
  <si>
    <t>Goodwill</t>
  </si>
  <si>
    <t>Prices and costs per bread</t>
  </si>
  <si>
    <t xml:space="preserve">Price </t>
  </si>
  <si>
    <t>Costs</t>
  </si>
  <si>
    <t>Demand level density</t>
  </si>
  <si>
    <t>low</t>
  </si>
  <si>
    <t>medium</t>
  </si>
  <si>
    <t>high</t>
  </si>
  <si>
    <t>Exampel on calculations of profit for one day in Excel (you have to use VBA)</t>
  </si>
  <si>
    <t>Production</t>
  </si>
  <si>
    <t>bread</t>
  </si>
  <si>
    <t>Demand level</t>
  </si>
  <si>
    <t xml:space="preserve">Demand  </t>
  </si>
  <si>
    <t>Sales</t>
  </si>
  <si>
    <t>DKK</t>
  </si>
  <si>
    <t>Profit</t>
  </si>
  <si>
    <t>Yellow cells are random numbers</t>
  </si>
  <si>
    <t>Mean</t>
  </si>
  <si>
    <t>Stdev</t>
  </si>
  <si>
    <t>Min</t>
  </si>
  <si>
    <t>Max</t>
  </si>
  <si>
    <t>Runs</t>
  </si>
  <si>
    <t>Price</t>
  </si>
  <si>
    <t>Cost</t>
  </si>
  <si>
    <t xml:space="preserve">Cost </t>
  </si>
  <si>
    <t>Optimal production</t>
  </si>
  <si>
    <t>Pr1</t>
  </si>
  <si>
    <t>Pr2</t>
  </si>
  <si>
    <t>Pr3</t>
  </si>
  <si>
    <t>Increasing cost</t>
  </si>
  <si>
    <t>Advertising so only high demand</t>
  </si>
  <si>
    <t>Only low demand</t>
  </si>
  <si>
    <t>Increasing goodwill</t>
  </si>
  <si>
    <t>Simulation of different production levels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</si>
</sst>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</cellStyleXfs>
  <cellXfs count="8">
    <xf numFmtId="0" fontId="0" fillId="0" borderId="0" xfId="0"/>
    <xf numFmtId="0" fontId="4" fillId="0" borderId="0" xfId="0" applyFont="1"/>
    <xf numFmtId="0" fontId="3" fillId="4" borderId="1" xfId="3"/>
    <xf numFmtId="0" fontId="3" fillId="4" borderId="1" xfId="3" applyAlignment="1">
      <alignment horizontal="center"/>
    </xf>
    <xf numFmtId="0" fontId="1" fillId="2" borderId="1" xfId="1" applyBorder="1" applyAlignment="1">
      <alignment horizontal="center"/>
    </xf>
    <xf numFmtId="0" fontId="2" fillId="3" borderId="1" xfId="2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4">
    <cellStyle name="Bad" xfId="1" builtinId="27"/>
    <cellStyle name="Input" xfId="3" builtinId="20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BB09C26-70A9-1E4C-88C9-AA60122A7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DEA8E-016D-F840-B4EC-70E6220CCAD8}">
  <sheetPr codeName="SheetMain"/>
  <dimension ref="A1:F18"/>
  <sheetViews>
    <sheetView showGridLines="0" tabSelected="1" topLeftCell="A2" workbookViewId="0">
      <selection activeCell="I13" sqref="I13"/>
    </sheetView>
  </sheetViews>
  <sheetFormatPr baseColWidth="10" defaultRowHeight="16"/>
  <cols>
    <col min="1" max="1" width="13" customWidth="1"/>
    <col min="2" max="2" width="9.6640625" customWidth="1"/>
    <col min="3" max="3" width="7.33203125" customWidth="1"/>
    <col min="4" max="4" width="9.5" customWidth="1"/>
    <col min="5" max="5" width="7.5" customWidth="1"/>
    <col min="6" max="6" width="4.1640625" bestFit="1" customWidth="1"/>
  </cols>
  <sheetData>
    <row r="1" spans="1:6">
      <c r="A1" s="1" t="s">
        <v>0</v>
      </c>
    </row>
    <row r="3" spans="1:6">
      <c r="A3" t="s">
        <v>2</v>
      </c>
      <c r="D3" t="s">
        <v>5</v>
      </c>
    </row>
    <row r="4" spans="1:6">
      <c r="A4" s="2" t="s">
        <v>3</v>
      </c>
      <c r="B4" s="2">
        <v>45</v>
      </c>
      <c r="D4" s="3" t="s">
        <v>6</v>
      </c>
      <c r="E4" s="3">
        <v>1</v>
      </c>
      <c r="F4" s="3">
        <v>0.2</v>
      </c>
    </row>
    <row r="5" spans="1:6">
      <c r="A5" s="2" t="s">
        <v>4</v>
      </c>
      <c r="B5" s="2">
        <v>7</v>
      </c>
      <c r="D5" s="3" t="s">
        <v>7</v>
      </c>
      <c r="E5" s="3">
        <v>2</v>
      </c>
      <c r="F5" s="3">
        <v>0.5</v>
      </c>
    </row>
    <row r="6" spans="1:6">
      <c r="A6" s="2" t="s">
        <v>1</v>
      </c>
      <c r="B6" s="2">
        <v>10</v>
      </c>
      <c r="D6" s="3" t="s">
        <v>8</v>
      </c>
      <c r="E6" s="3">
        <v>3</v>
      </c>
      <c r="F6" s="3">
        <v>0.3</v>
      </c>
    </row>
    <row r="9" spans="1:6">
      <c r="A9" t="s">
        <v>9</v>
      </c>
    </row>
    <row r="10" spans="1:6">
      <c r="A10" s="2"/>
      <c r="B10" s="3" t="s">
        <v>11</v>
      </c>
      <c r="C10" s="3" t="s">
        <v>15</v>
      </c>
    </row>
    <row r="11" spans="1:6">
      <c r="A11" s="2" t="s">
        <v>10</v>
      </c>
      <c r="B11" s="3">
        <v>56</v>
      </c>
      <c r="C11" s="3"/>
    </row>
    <row r="12" spans="1:6">
      <c r="A12" s="2" t="s">
        <v>12</v>
      </c>
      <c r="B12" s="5" t="s">
        <v>7</v>
      </c>
      <c r="C12" s="3"/>
    </row>
    <row r="13" spans="1:6">
      <c r="A13" s="2" t="s">
        <v>13</v>
      </c>
      <c r="B13" s="5">
        <v>42</v>
      </c>
      <c r="C13" s="3"/>
    </row>
    <row r="14" spans="1:6">
      <c r="A14" s="2" t="s">
        <v>14</v>
      </c>
      <c r="B14" s="3">
        <f>MIN(B13,B11)</f>
        <v>42</v>
      </c>
      <c r="C14" s="3">
        <f>B14*(B4-B5)</f>
        <v>1596</v>
      </c>
    </row>
    <row r="15" spans="1:6">
      <c r="A15" s="2" t="s">
        <v>4</v>
      </c>
      <c r="B15" s="3">
        <f>MAX(0,B11-B13)</f>
        <v>14</v>
      </c>
      <c r="C15" s="3">
        <f>B5*B15</f>
        <v>98</v>
      </c>
    </row>
    <row r="16" spans="1:6">
      <c r="A16" s="2" t="s">
        <v>1</v>
      </c>
      <c r="B16" s="3">
        <f>MAX(0,B13-B11)</f>
        <v>0</v>
      </c>
      <c r="C16" s="3">
        <f>-B16*B6</f>
        <v>0</v>
      </c>
    </row>
    <row r="17" spans="1:3">
      <c r="A17" s="2" t="s">
        <v>16</v>
      </c>
      <c r="B17" s="3"/>
      <c r="C17" s="4">
        <f>SUM(C14:C16)</f>
        <v>1694</v>
      </c>
    </row>
    <row r="18" spans="1:3">
      <c r="A18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Simulate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88409-45C3-7045-8A53-199ECC44AEFB}">
  <sheetPr codeName="SheetSim"/>
  <dimension ref="A1:I23"/>
  <sheetViews>
    <sheetView workbookViewId="0">
      <selection activeCell="D27" sqref="D27"/>
    </sheetView>
  </sheetViews>
  <sheetFormatPr baseColWidth="10" defaultRowHeight="16"/>
  <cols>
    <col min="6" max="6" width="12.6640625" bestFit="1" customWidth="1"/>
    <col min="7" max="7" width="11.6640625" bestFit="1" customWidth="1"/>
  </cols>
  <sheetData>
    <row r="1" spans="1:9">
      <c r="A1" t="s">
        <v>34</v>
      </c>
    </row>
    <row r="3" spans="1:9">
      <c r="A3" t="s">
        <v>22</v>
      </c>
      <c r="B3" t="s">
        <v>10</v>
      </c>
      <c r="C3" t="s">
        <v>23</v>
      </c>
      <c r="D3" t="s">
        <v>24</v>
      </c>
      <c r="E3" t="s">
        <v>1</v>
      </c>
      <c r="F3" t="s">
        <v>18</v>
      </c>
      <c r="G3" t="s">
        <v>19</v>
      </c>
      <c r="H3" t="s">
        <v>20</v>
      </c>
      <c r="I3" t="s">
        <v>21</v>
      </c>
    </row>
    <row r="4" spans="1:9">
      <c r="A4">
        <v>500</v>
      </c>
      <c r="B4">
        <v>20</v>
      </c>
      <c r="C4">
        <v>45</v>
      </c>
      <c r="D4">
        <v>7</v>
      </c>
      <c r="E4">
        <v>10</v>
      </c>
      <c r="F4">
        <v>33.14</v>
      </c>
      <c r="G4">
        <v>170.34898871408606</v>
      </c>
      <c r="H4">
        <v>-450</v>
      </c>
      <c r="I4">
        <v>470</v>
      </c>
    </row>
    <row r="5" spans="1:9">
      <c r="A5">
        <v>500</v>
      </c>
      <c r="B5">
        <v>40</v>
      </c>
      <c r="C5">
        <v>45</v>
      </c>
      <c r="D5">
        <v>7</v>
      </c>
      <c r="E5">
        <v>10</v>
      </c>
      <c r="F5">
        <v>996.06</v>
      </c>
      <c r="G5">
        <v>169.0379367127278</v>
      </c>
      <c r="H5">
        <v>590</v>
      </c>
      <c r="I5">
        <v>1470</v>
      </c>
    </row>
    <row r="6" spans="1:9">
      <c r="A6">
        <v>500</v>
      </c>
      <c r="B6">
        <v>60</v>
      </c>
      <c r="C6">
        <v>45</v>
      </c>
      <c r="D6">
        <v>7</v>
      </c>
      <c r="E6">
        <v>10</v>
      </c>
      <c r="F6">
        <v>1942.93</v>
      </c>
      <c r="G6">
        <v>158.58487767392478</v>
      </c>
      <c r="H6">
        <v>1560</v>
      </c>
      <c r="I6">
        <v>2270</v>
      </c>
    </row>
    <row r="7" spans="1:9">
      <c r="A7">
        <v>500</v>
      </c>
      <c r="B7">
        <v>80</v>
      </c>
      <c r="C7">
        <v>45</v>
      </c>
      <c r="D7">
        <v>7</v>
      </c>
      <c r="E7">
        <v>10</v>
      </c>
      <c r="F7">
        <v>2781.18</v>
      </c>
      <c r="G7">
        <v>213.78099126079681</v>
      </c>
      <c r="H7">
        <v>1735</v>
      </c>
      <c r="I7">
        <v>3040</v>
      </c>
    </row>
    <row r="8" spans="1:9">
      <c r="A8">
        <v>500</v>
      </c>
      <c r="B8">
        <v>100</v>
      </c>
      <c r="C8">
        <v>45</v>
      </c>
      <c r="D8">
        <v>7</v>
      </c>
      <c r="E8">
        <v>10</v>
      </c>
      <c r="F8">
        <v>3238.5</v>
      </c>
      <c r="G8">
        <v>515.22117164517113</v>
      </c>
      <c r="H8">
        <v>1595</v>
      </c>
      <c r="I8">
        <v>3800</v>
      </c>
    </row>
    <row r="9" spans="1:9">
      <c r="A9">
        <v>500</v>
      </c>
      <c r="B9">
        <v>120</v>
      </c>
      <c r="C9">
        <v>45</v>
      </c>
      <c r="D9">
        <v>7</v>
      </c>
      <c r="E9">
        <v>10</v>
      </c>
      <c r="F9">
        <v>3259.25</v>
      </c>
      <c r="G9">
        <v>752.12150682056961</v>
      </c>
      <c r="H9">
        <v>1320</v>
      </c>
      <c r="I9">
        <v>4560</v>
      </c>
    </row>
    <row r="10" spans="1:9">
      <c r="A10">
        <v>500</v>
      </c>
      <c r="B10">
        <v>140</v>
      </c>
      <c r="C10">
        <v>45</v>
      </c>
      <c r="D10">
        <v>7</v>
      </c>
      <c r="E10">
        <v>10</v>
      </c>
      <c r="F10">
        <v>3152.93</v>
      </c>
      <c r="G10">
        <v>810.08953530484587</v>
      </c>
      <c r="H10">
        <v>1360</v>
      </c>
      <c r="I10">
        <v>5250</v>
      </c>
    </row>
    <row r="11" spans="1:9">
      <c r="A11">
        <v>500</v>
      </c>
      <c r="B11">
        <v>160</v>
      </c>
      <c r="C11">
        <v>45</v>
      </c>
      <c r="D11">
        <v>7</v>
      </c>
      <c r="E11">
        <v>10</v>
      </c>
      <c r="F11">
        <v>3049.07</v>
      </c>
      <c r="G11">
        <v>752.61220782733903</v>
      </c>
      <c r="H11">
        <v>950</v>
      </c>
      <c r="I11">
        <v>5045</v>
      </c>
    </row>
    <row r="12" spans="1:9">
      <c r="A12">
        <v>500</v>
      </c>
      <c r="B12">
        <v>180</v>
      </c>
      <c r="C12">
        <v>45</v>
      </c>
      <c r="D12">
        <v>7</v>
      </c>
      <c r="E12">
        <v>10</v>
      </c>
      <c r="F12">
        <v>2851.65</v>
      </c>
      <c r="G12">
        <v>772.27413667969529</v>
      </c>
      <c r="H12">
        <v>1035</v>
      </c>
      <c r="I12">
        <v>4725</v>
      </c>
    </row>
    <row r="13" spans="1:9">
      <c r="A13">
        <v>500</v>
      </c>
      <c r="B13">
        <v>200</v>
      </c>
      <c r="C13">
        <v>45</v>
      </c>
      <c r="D13">
        <v>7</v>
      </c>
      <c r="E13">
        <v>10</v>
      </c>
      <c r="F13">
        <v>2751.07</v>
      </c>
      <c r="G13">
        <v>725.45425275870548</v>
      </c>
      <c r="H13">
        <v>850</v>
      </c>
      <c r="I13">
        <v>4540</v>
      </c>
    </row>
    <row r="14" spans="1:9">
      <c r="A14">
        <v>500</v>
      </c>
      <c r="B14">
        <v>220</v>
      </c>
      <c r="C14">
        <v>45</v>
      </c>
      <c r="D14">
        <v>7</v>
      </c>
      <c r="E14">
        <v>10</v>
      </c>
      <c r="F14">
        <v>2652.47</v>
      </c>
      <c r="G14">
        <v>740.17482166935872</v>
      </c>
      <c r="H14">
        <v>890</v>
      </c>
      <c r="I14">
        <v>4580</v>
      </c>
    </row>
    <row r="15" spans="1:9">
      <c r="A15">
        <v>500</v>
      </c>
      <c r="B15">
        <v>240</v>
      </c>
      <c r="C15">
        <v>45</v>
      </c>
      <c r="D15">
        <v>7</v>
      </c>
      <c r="E15">
        <v>10</v>
      </c>
      <c r="F15">
        <v>2515.98</v>
      </c>
      <c r="G15">
        <v>797.99783250417613</v>
      </c>
      <c r="H15">
        <v>750</v>
      </c>
      <c r="I15">
        <v>4620</v>
      </c>
    </row>
    <row r="16" spans="1:9">
      <c r="A16">
        <v>500</v>
      </c>
      <c r="B16">
        <v>260</v>
      </c>
      <c r="C16">
        <v>45</v>
      </c>
      <c r="D16">
        <v>7</v>
      </c>
      <c r="E16">
        <v>10</v>
      </c>
      <c r="F16">
        <v>2393.35</v>
      </c>
      <c r="G16">
        <v>778.76799284083745</v>
      </c>
      <c r="H16">
        <v>565</v>
      </c>
      <c r="I16">
        <v>4570</v>
      </c>
    </row>
    <row r="17" spans="1:9">
      <c r="A17">
        <v>500</v>
      </c>
      <c r="B17">
        <v>280</v>
      </c>
      <c r="C17">
        <v>45</v>
      </c>
      <c r="D17">
        <v>7</v>
      </c>
      <c r="E17">
        <v>10</v>
      </c>
      <c r="F17">
        <v>2283.41</v>
      </c>
      <c r="G17">
        <v>764.14970486344191</v>
      </c>
      <c r="H17">
        <v>470</v>
      </c>
      <c r="I17">
        <v>4160</v>
      </c>
    </row>
    <row r="18" spans="1:9">
      <c r="A18">
        <v>500</v>
      </c>
      <c r="B18">
        <v>300</v>
      </c>
      <c r="C18">
        <v>45</v>
      </c>
      <c r="D18">
        <v>7</v>
      </c>
      <c r="E18">
        <v>10</v>
      </c>
      <c r="F18">
        <v>2018.67</v>
      </c>
      <c r="G18">
        <v>744.74268336711953</v>
      </c>
      <c r="H18">
        <v>195</v>
      </c>
      <c r="I18">
        <v>4335</v>
      </c>
    </row>
    <row r="19" spans="1:9">
      <c r="A19">
        <v>500</v>
      </c>
      <c r="B19">
        <v>320</v>
      </c>
      <c r="C19">
        <v>45</v>
      </c>
      <c r="D19">
        <v>7</v>
      </c>
      <c r="E19">
        <v>10</v>
      </c>
      <c r="F19">
        <v>1870.84</v>
      </c>
      <c r="G19">
        <v>768.19485879701415</v>
      </c>
      <c r="H19">
        <v>235</v>
      </c>
      <c r="I19">
        <v>3970</v>
      </c>
    </row>
    <row r="20" spans="1:9">
      <c r="A20">
        <v>500</v>
      </c>
      <c r="B20">
        <v>340</v>
      </c>
      <c r="C20">
        <v>45</v>
      </c>
      <c r="D20">
        <v>7</v>
      </c>
      <c r="E20">
        <v>10</v>
      </c>
      <c r="F20">
        <v>1723.64</v>
      </c>
      <c r="G20">
        <v>772.63405125214922</v>
      </c>
      <c r="H20">
        <v>-265</v>
      </c>
      <c r="I20">
        <v>3425</v>
      </c>
    </row>
    <row r="21" spans="1:9">
      <c r="A21">
        <v>500</v>
      </c>
      <c r="B21">
        <v>360</v>
      </c>
      <c r="C21">
        <v>45</v>
      </c>
      <c r="D21">
        <v>7</v>
      </c>
      <c r="E21">
        <v>10</v>
      </c>
      <c r="F21">
        <v>1637.28</v>
      </c>
      <c r="G21">
        <v>761.1264208112301</v>
      </c>
      <c r="H21">
        <v>-225</v>
      </c>
      <c r="I21">
        <v>3870</v>
      </c>
    </row>
    <row r="22" spans="1:9">
      <c r="A22">
        <v>500</v>
      </c>
      <c r="B22">
        <v>380</v>
      </c>
      <c r="C22">
        <v>45</v>
      </c>
      <c r="D22">
        <v>7</v>
      </c>
      <c r="E22">
        <v>10</v>
      </c>
      <c r="F22">
        <v>1454.71</v>
      </c>
      <c r="G22">
        <v>750.56783173813164</v>
      </c>
      <c r="H22">
        <v>-365</v>
      </c>
      <c r="I22">
        <v>3550</v>
      </c>
    </row>
    <row r="23" spans="1:9">
      <c r="A23">
        <v>500</v>
      </c>
      <c r="B23">
        <v>400</v>
      </c>
      <c r="C23">
        <v>45</v>
      </c>
      <c r="D23">
        <v>7</v>
      </c>
      <c r="E23">
        <v>10</v>
      </c>
      <c r="F23">
        <v>1334.06</v>
      </c>
      <c r="G23">
        <v>763.99751360956884</v>
      </c>
      <c r="H23">
        <v>-415</v>
      </c>
      <c r="I23">
        <v>3680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8FC9-3B40-3848-9C96-AE14AA2D8404}">
  <sheetPr codeName="SheetSim1"/>
  <dimension ref="A1:I23"/>
  <sheetViews>
    <sheetView workbookViewId="0">
      <selection activeCell="D27" sqref="D27"/>
    </sheetView>
  </sheetViews>
  <sheetFormatPr baseColWidth="10" defaultRowHeight="16"/>
  <cols>
    <col min="6" max="6" width="12.6640625" bestFit="1" customWidth="1"/>
    <col min="7" max="7" width="11.6640625" bestFit="1" customWidth="1"/>
  </cols>
  <sheetData>
    <row r="1" spans="1:9">
      <c r="A1" t="s">
        <v>34</v>
      </c>
    </row>
    <row r="3" spans="1:9">
      <c r="A3" t="s">
        <v>22</v>
      </c>
      <c r="B3" t="s">
        <v>10</v>
      </c>
      <c r="C3" t="s">
        <v>23</v>
      </c>
      <c r="D3" t="s">
        <v>24</v>
      </c>
      <c r="E3" t="s">
        <v>1</v>
      </c>
      <c r="F3" t="s">
        <v>18</v>
      </c>
      <c r="G3" t="s">
        <v>19</v>
      </c>
      <c r="H3" t="s">
        <v>20</v>
      </c>
      <c r="I3" t="s">
        <v>21</v>
      </c>
    </row>
    <row r="4" spans="1:9">
      <c r="A4">
        <v>500</v>
      </c>
      <c r="B4">
        <v>20</v>
      </c>
      <c r="C4">
        <v>45</v>
      </c>
      <c r="D4">
        <v>7</v>
      </c>
      <c r="E4">
        <v>10</v>
      </c>
      <c r="F4">
        <v>33.14</v>
      </c>
      <c r="G4">
        <v>170.34898871408606</v>
      </c>
      <c r="H4">
        <v>-450</v>
      </c>
      <c r="I4">
        <v>470</v>
      </c>
    </row>
    <row r="5" spans="1:9">
      <c r="A5">
        <v>500</v>
      </c>
      <c r="B5">
        <v>40</v>
      </c>
      <c r="C5">
        <v>45</v>
      </c>
      <c r="D5">
        <v>7</v>
      </c>
      <c r="E5">
        <v>10</v>
      </c>
      <c r="F5">
        <v>996.06</v>
      </c>
      <c r="G5">
        <v>169.0379367127278</v>
      </c>
      <c r="H5">
        <v>590</v>
      </c>
      <c r="I5">
        <v>1470</v>
      </c>
    </row>
    <row r="6" spans="1:9">
      <c r="A6">
        <v>500</v>
      </c>
      <c r="B6">
        <v>60</v>
      </c>
      <c r="C6">
        <v>45</v>
      </c>
      <c r="D6">
        <v>7</v>
      </c>
      <c r="E6">
        <v>10</v>
      </c>
      <c r="F6">
        <v>1942.93</v>
      </c>
      <c r="G6">
        <v>158.58487767392478</v>
      </c>
      <c r="H6">
        <v>1560</v>
      </c>
      <c r="I6">
        <v>2270</v>
      </c>
    </row>
    <row r="7" spans="1:9">
      <c r="A7">
        <v>500</v>
      </c>
      <c r="B7">
        <v>80</v>
      </c>
      <c r="C7">
        <v>45</v>
      </c>
      <c r="D7">
        <v>7</v>
      </c>
      <c r="E7">
        <v>10</v>
      </c>
      <c r="F7">
        <v>2781.18</v>
      </c>
      <c r="G7">
        <v>213.78099126079681</v>
      </c>
      <c r="H7">
        <v>1735</v>
      </c>
      <c r="I7">
        <v>3040</v>
      </c>
    </row>
    <row r="8" spans="1:9">
      <c r="A8">
        <v>500</v>
      </c>
      <c r="B8">
        <v>100</v>
      </c>
      <c r="C8">
        <v>45</v>
      </c>
      <c r="D8">
        <v>7</v>
      </c>
      <c r="E8">
        <v>10</v>
      </c>
      <c r="F8">
        <v>3238.5</v>
      </c>
      <c r="G8">
        <v>515.22117164517113</v>
      </c>
      <c r="H8">
        <v>1595</v>
      </c>
      <c r="I8">
        <v>3800</v>
      </c>
    </row>
    <row r="9" spans="1:9">
      <c r="A9">
        <v>500</v>
      </c>
      <c r="B9">
        <v>120</v>
      </c>
      <c r="C9">
        <v>45</v>
      </c>
      <c r="D9">
        <v>7</v>
      </c>
      <c r="E9">
        <v>10</v>
      </c>
      <c r="F9">
        <v>3259.25</v>
      </c>
      <c r="G9">
        <v>752.12150682056961</v>
      </c>
      <c r="H9">
        <v>1320</v>
      </c>
      <c r="I9">
        <v>4560</v>
      </c>
    </row>
    <row r="10" spans="1:9">
      <c r="A10">
        <v>500</v>
      </c>
      <c r="B10">
        <v>140</v>
      </c>
      <c r="C10">
        <v>45</v>
      </c>
      <c r="D10">
        <v>7</v>
      </c>
      <c r="E10">
        <v>10</v>
      </c>
      <c r="F10">
        <v>3152.93</v>
      </c>
      <c r="G10">
        <v>810.08953530484587</v>
      </c>
      <c r="H10">
        <v>1360</v>
      </c>
      <c r="I10">
        <v>5250</v>
      </c>
    </row>
    <row r="11" spans="1:9">
      <c r="A11">
        <v>500</v>
      </c>
      <c r="B11">
        <v>160</v>
      </c>
      <c r="C11">
        <v>45</v>
      </c>
      <c r="D11">
        <v>7</v>
      </c>
      <c r="E11">
        <v>10</v>
      </c>
      <c r="F11">
        <v>3049.07</v>
      </c>
      <c r="G11">
        <v>752.61220782733903</v>
      </c>
      <c r="H11">
        <v>950</v>
      </c>
      <c r="I11">
        <v>5045</v>
      </c>
    </row>
    <row r="12" spans="1:9">
      <c r="A12">
        <v>500</v>
      </c>
      <c r="B12">
        <v>180</v>
      </c>
      <c r="C12">
        <v>45</v>
      </c>
      <c r="D12">
        <v>7</v>
      </c>
      <c r="E12">
        <v>10</v>
      </c>
      <c r="F12">
        <v>2851.65</v>
      </c>
      <c r="G12">
        <v>772.27413667969529</v>
      </c>
      <c r="H12">
        <v>1035</v>
      </c>
      <c r="I12">
        <v>4725</v>
      </c>
    </row>
    <row r="13" spans="1:9">
      <c r="A13">
        <v>500</v>
      </c>
      <c r="B13">
        <v>200</v>
      </c>
      <c r="C13">
        <v>45</v>
      </c>
      <c r="D13">
        <v>7</v>
      </c>
      <c r="E13">
        <v>10</v>
      </c>
      <c r="F13">
        <v>2751.07</v>
      </c>
      <c r="G13">
        <v>725.45425275870548</v>
      </c>
      <c r="H13">
        <v>850</v>
      </c>
      <c r="I13">
        <v>4540</v>
      </c>
    </row>
    <row r="14" spans="1:9">
      <c r="A14">
        <v>500</v>
      </c>
      <c r="B14">
        <v>220</v>
      </c>
      <c r="C14">
        <v>45</v>
      </c>
      <c r="D14">
        <v>7</v>
      </c>
      <c r="E14">
        <v>10</v>
      </c>
      <c r="F14">
        <v>2652.47</v>
      </c>
      <c r="G14">
        <v>740.17482166935872</v>
      </c>
      <c r="H14">
        <v>890</v>
      </c>
      <c r="I14">
        <v>4580</v>
      </c>
    </row>
    <row r="15" spans="1:9">
      <c r="A15">
        <v>500</v>
      </c>
      <c r="B15">
        <v>240</v>
      </c>
      <c r="C15">
        <v>45</v>
      </c>
      <c r="D15">
        <v>7</v>
      </c>
      <c r="E15">
        <v>10</v>
      </c>
      <c r="F15">
        <v>2515.98</v>
      </c>
      <c r="G15">
        <v>797.99783250417613</v>
      </c>
      <c r="H15">
        <v>750</v>
      </c>
      <c r="I15">
        <v>4620</v>
      </c>
    </row>
    <row r="16" spans="1:9">
      <c r="A16">
        <v>500</v>
      </c>
      <c r="B16">
        <v>260</v>
      </c>
      <c r="C16">
        <v>45</v>
      </c>
      <c r="D16">
        <v>7</v>
      </c>
      <c r="E16">
        <v>10</v>
      </c>
      <c r="F16">
        <v>2393.35</v>
      </c>
      <c r="G16">
        <v>778.76799284083745</v>
      </c>
      <c r="H16">
        <v>565</v>
      </c>
      <c r="I16">
        <v>4570</v>
      </c>
    </row>
    <row r="17" spans="1:9">
      <c r="A17">
        <v>500</v>
      </c>
      <c r="B17">
        <v>280</v>
      </c>
      <c r="C17">
        <v>45</v>
      </c>
      <c r="D17">
        <v>7</v>
      </c>
      <c r="E17">
        <v>10</v>
      </c>
      <c r="F17">
        <v>2283.41</v>
      </c>
      <c r="G17">
        <v>764.14970486344191</v>
      </c>
      <c r="H17">
        <v>470</v>
      </c>
      <c r="I17">
        <v>4160</v>
      </c>
    </row>
    <row r="18" spans="1:9">
      <c r="A18">
        <v>500</v>
      </c>
      <c r="B18">
        <v>300</v>
      </c>
      <c r="C18">
        <v>45</v>
      </c>
      <c r="D18">
        <v>7</v>
      </c>
      <c r="E18">
        <v>10</v>
      </c>
      <c r="F18">
        <v>2018.67</v>
      </c>
      <c r="G18">
        <v>744.74268336711953</v>
      </c>
      <c r="H18">
        <v>195</v>
      </c>
      <c r="I18">
        <v>4335</v>
      </c>
    </row>
    <row r="19" spans="1:9">
      <c r="A19">
        <v>500</v>
      </c>
      <c r="B19">
        <v>320</v>
      </c>
      <c r="C19">
        <v>45</v>
      </c>
      <c r="D19">
        <v>7</v>
      </c>
      <c r="E19">
        <v>10</v>
      </c>
      <c r="F19">
        <v>1870.84</v>
      </c>
      <c r="G19">
        <v>768.19485879701415</v>
      </c>
      <c r="H19">
        <v>235</v>
      </c>
      <c r="I19">
        <v>3970</v>
      </c>
    </row>
    <row r="20" spans="1:9">
      <c r="A20">
        <v>500</v>
      </c>
      <c r="B20">
        <v>340</v>
      </c>
      <c r="C20">
        <v>45</v>
      </c>
      <c r="D20">
        <v>7</v>
      </c>
      <c r="E20">
        <v>10</v>
      </c>
      <c r="F20">
        <v>1723.64</v>
      </c>
      <c r="G20">
        <v>772.63405125214922</v>
      </c>
      <c r="H20">
        <v>-265</v>
      </c>
      <c r="I20">
        <v>3425</v>
      </c>
    </row>
    <row r="21" spans="1:9">
      <c r="A21">
        <v>500</v>
      </c>
      <c r="B21">
        <v>360</v>
      </c>
      <c r="C21">
        <v>45</v>
      </c>
      <c r="D21">
        <v>7</v>
      </c>
      <c r="E21">
        <v>10</v>
      </c>
      <c r="F21">
        <v>1637.28</v>
      </c>
      <c r="G21">
        <v>761.1264208112301</v>
      </c>
      <c r="H21">
        <v>-225</v>
      </c>
      <c r="I21">
        <v>3870</v>
      </c>
    </row>
    <row r="22" spans="1:9">
      <c r="A22">
        <v>500</v>
      </c>
      <c r="B22">
        <v>380</v>
      </c>
      <c r="C22">
        <v>45</v>
      </c>
      <c r="D22">
        <v>7</v>
      </c>
      <c r="E22">
        <v>10</v>
      </c>
      <c r="F22">
        <v>1454.71</v>
      </c>
      <c r="G22">
        <v>750.56783173813164</v>
      </c>
      <c r="H22">
        <v>-365</v>
      </c>
      <c r="I22">
        <v>3550</v>
      </c>
    </row>
    <row r="23" spans="1:9">
      <c r="A23">
        <v>500</v>
      </c>
      <c r="B23">
        <v>400</v>
      </c>
      <c r="C23">
        <v>45</v>
      </c>
      <c r="D23">
        <v>7</v>
      </c>
      <c r="E23">
        <v>10</v>
      </c>
      <c r="F23">
        <v>1334.06</v>
      </c>
      <c r="G23">
        <v>763.99751360956884</v>
      </c>
      <c r="H23">
        <v>-415</v>
      </c>
      <c r="I23">
        <v>3680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1D240-509A-BF48-82B0-6C812080FB26}">
  <sheetPr codeName="Sheet1"/>
  <dimension ref="A1:G16"/>
  <sheetViews>
    <sheetView topLeftCell="A2" workbookViewId="0">
      <selection activeCell="E32" sqref="E32"/>
    </sheetView>
  </sheetViews>
  <sheetFormatPr baseColWidth="10" defaultRowHeight="16"/>
  <cols>
    <col min="1" max="6" width="10.83203125" style="6"/>
    <col min="7" max="7" width="17.33203125" style="6" customWidth="1"/>
  </cols>
  <sheetData>
    <row r="1" spans="1:7">
      <c r="A1" s="6" t="s">
        <v>3</v>
      </c>
      <c r="B1" s="6" t="s">
        <v>25</v>
      </c>
      <c r="C1" s="6" t="s">
        <v>1</v>
      </c>
      <c r="D1" s="6" t="s">
        <v>27</v>
      </c>
      <c r="E1" s="6" t="s">
        <v>28</v>
      </c>
      <c r="F1" s="6" t="s">
        <v>29</v>
      </c>
      <c r="G1" s="6" t="s">
        <v>26</v>
      </c>
    </row>
    <row r="2" spans="1:7">
      <c r="A2" s="7" t="s">
        <v>30</v>
      </c>
    </row>
    <row r="3" spans="1:7">
      <c r="A3" s="6">
        <v>45</v>
      </c>
      <c r="B3" s="6">
        <v>6</v>
      </c>
      <c r="C3" s="6">
        <v>10</v>
      </c>
      <c r="D3" s="6">
        <v>0.2</v>
      </c>
      <c r="E3" s="6">
        <v>0.5</v>
      </c>
      <c r="F3" s="6">
        <v>0.3</v>
      </c>
      <c r="G3" s="6">
        <f t="shared" ref="G3:G7" si="0">OptimalProd(A3,B3,C3,D3,E3,F3)</f>
        <v>120</v>
      </c>
    </row>
    <row r="4" spans="1:7">
      <c r="A4" s="6">
        <v>45</v>
      </c>
      <c r="B4" s="6">
        <v>8</v>
      </c>
      <c r="C4" s="6">
        <v>10</v>
      </c>
      <c r="D4" s="6">
        <v>0.2</v>
      </c>
      <c r="E4" s="6">
        <v>0.5</v>
      </c>
      <c r="F4" s="6">
        <v>0.3</v>
      </c>
      <c r="G4" s="6">
        <f t="shared" si="0"/>
        <v>120</v>
      </c>
    </row>
    <row r="5" spans="1:7">
      <c r="A5" s="6">
        <v>45</v>
      </c>
      <c r="B5" s="6">
        <v>10</v>
      </c>
      <c r="C5" s="6">
        <v>10</v>
      </c>
      <c r="D5" s="6">
        <v>0.2</v>
      </c>
      <c r="E5" s="6">
        <v>0.5</v>
      </c>
      <c r="F5" s="6">
        <v>0.3</v>
      </c>
      <c r="G5" s="6">
        <f t="shared" si="0"/>
        <v>100</v>
      </c>
    </row>
    <row r="6" spans="1:7">
      <c r="A6" s="6">
        <v>45</v>
      </c>
      <c r="B6" s="6">
        <v>12</v>
      </c>
      <c r="C6" s="6">
        <v>10</v>
      </c>
      <c r="D6" s="6">
        <v>0.2</v>
      </c>
      <c r="E6" s="6">
        <v>0.5</v>
      </c>
      <c r="F6" s="6">
        <v>0.3</v>
      </c>
      <c r="G6" s="6">
        <f t="shared" si="0"/>
        <v>100</v>
      </c>
    </row>
    <row r="7" spans="1:7">
      <c r="A7" s="6">
        <v>45</v>
      </c>
      <c r="B7" s="6">
        <v>14</v>
      </c>
      <c r="C7" s="6">
        <v>10</v>
      </c>
      <c r="D7" s="6">
        <v>0.2</v>
      </c>
      <c r="E7" s="6">
        <v>0.5</v>
      </c>
      <c r="F7" s="6">
        <v>0.3</v>
      </c>
      <c r="G7" s="6">
        <f t="shared" si="0"/>
        <v>100</v>
      </c>
    </row>
    <row r="8" spans="1:7">
      <c r="A8" s="7" t="s">
        <v>31</v>
      </c>
    </row>
    <row r="9" spans="1:7">
      <c r="A9" s="6">
        <v>45</v>
      </c>
      <c r="B9" s="6">
        <v>7</v>
      </c>
      <c r="C9" s="6">
        <v>10</v>
      </c>
      <c r="D9" s="6">
        <v>0</v>
      </c>
      <c r="E9" s="6">
        <v>0</v>
      </c>
      <c r="F9" s="6">
        <v>1</v>
      </c>
      <c r="G9" s="6">
        <f t="shared" ref="G9" si="1">OptimalProd(A9,B9,C9,D9,E9,F9)</f>
        <v>120</v>
      </c>
    </row>
    <row r="10" spans="1:7">
      <c r="A10" s="7" t="s">
        <v>32</v>
      </c>
    </row>
    <row r="11" spans="1:7">
      <c r="A11" s="6">
        <v>45</v>
      </c>
      <c r="B11" s="6">
        <v>7</v>
      </c>
      <c r="C11" s="6">
        <v>10</v>
      </c>
      <c r="D11" s="6">
        <v>1</v>
      </c>
      <c r="E11" s="6">
        <v>0</v>
      </c>
      <c r="F11" s="6">
        <v>0</v>
      </c>
      <c r="G11" s="6">
        <f t="shared" ref="G11" si="2">OptimalProd(A11,B11,C11,D11,E11,F11)</f>
        <v>80</v>
      </c>
    </row>
    <row r="12" spans="1:7">
      <c r="A12" s="7" t="s">
        <v>33</v>
      </c>
    </row>
    <row r="13" spans="1:7">
      <c r="A13" s="6">
        <v>45</v>
      </c>
      <c r="B13" s="6">
        <v>7</v>
      </c>
      <c r="C13" s="6">
        <v>10</v>
      </c>
      <c r="D13" s="6">
        <v>0.2</v>
      </c>
      <c r="E13" s="6">
        <v>0.5</v>
      </c>
      <c r="F13" s="6">
        <v>0.3</v>
      </c>
      <c r="G13" s="6">
        <f t="shared" ref="G13:G16" si="3">OptimalProd(A13,B13,C13,D13,E13,F13)</f>
        <v>100</v>
      </c>
    </row>
    <row r="14" spans="1:7">
      <c r="A14" s="6">
        <v>45</v>
      </c>
      <c r="B14" s="6">
        <v>7</v>
      </c>
      <c r="C14" s="6">
        <v>20</v>
      </c>
      <c r="D14" s="6">
        <v>0.2</v>
      </c>
      <c r="E14" s="6">
        <v>0.5</v>
      </c>
      <c r="F14" s="6">
        <v>0.3</v>
      </c>
      <c r="G14" s="6">
        <f t="shared" si="3"/>
        <v>120</v>
      </c>
    </row>
    <row r="15" spans="1:7">
      <c r="A15" s="6">
        <v>45</v>
      </c>
      <c r="B15" s="6">
        <v>7</v>
      </c>
      <c r="C15" s="6">
        <v>30</v>
      </c>
      <c r="D15" s="6">
        <v>0.2</v>
      </c>
      <c r="E15" s="6">
        <v>0.5</v>
      </c>
      <c r="F15" s="6">
        <v>0.3</v>
      </c>
      <c r="G15" s="6">
        <f t="shared" si="3"/>
        <v>140</v>
      </c>
    </row>
    <row r="16" spans="1:7">
      <c r="A16" s="6">
        <v>45</v>
      </c>
      <c r="B16" s="6">
        <v>7</v>
      </c>
      <c r="C16" s="6">
        <v>40</v>
      </c>
      <c r="D16" s="6">
        <v>0.2</v>
      </c>
      <c r="E16" s="6">
        <v>0.5</v>
      </c>
      <c r="F16" s="6">
        <v>0.3</v>
      </c>
      <c r="G16" s="6">
        <f>OptimalProd(A16,B16,C16,D16,E16,F16)</f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Simulation</vt:lpstr>
      <vt:lpstr>SimulationEx</vt:lpstr>
      <vt:lpstr>OptimalProd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2021-09-10T07:49:15Z</dcterms:created>
  <dcterms:modified xsi:type="dcterms:W3CDTF">2021-09-10T13:28:23Z</dcterms:modified>
</cp:coreProperties>
</file>